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LENOVO\Desktop\Eda Data Analyst Projects\"/>
    </mc:Choice>
  </mc:AlternateContent>
  <xr:revisionPtr revIDLastSave="0" documentId="13_ncr:1_{B4BB695D-D924-4792-ABC2-6949511A438B}" xr6:coauthVersionLast="47" xr6:coauthVersionMax="47" xr10:uidLastSave="{00000000-0000-0000-0000-000000000000}"/>
  <bookViews>
    <workbookView xWindow="-108" yWindow="-108" windowWidth="23256" windowHeight="12456" activeTab="1" xr2:uid="{346724B3-1C49-40AE-AA36-C77CF5D6DD09}"/>
  </bookViews>
  <sheets>
    <sheet name="Sheet2" sheetId="6" r:id="rId1"/>
    <sheet name="Dashboard" sheetId="3" r:id="rId2"/>
    <sheet name="Sheet3" sheetId="7" r:id="rId3"/>
    <sheet name="Sheet4" sheetId="9" r:id="rId4"/>
    <sheet name="Sheet5" sheetId="10" r:id="rId5"/>
    <sheet name="Sheet1" sheetId="11" r:id="rId6"/>
    <sheet name="Sheet6" sheetId="12" r:id="rId7"/>
    <sheet name="Data" sheetId="1" r:id="rId8"/>
    <sheet name="Questions &amp; KPIs" sheetId="2" r:id="rId9"/>
  </sheets>
  <definedNames>
    <definedName name="_xlchart.v5.0" hidden="1">Sheet1!$J$3:$K$3</definedName>
    <definedName name="_xlchart.v5.1" hidden="1">Sheet1!$J$4:$K$61</definedName>
    <definedName name="_xlchart.v5.10" hidden="1">Sheet1!$R$3</definedName>
    <definedName name="_xlchart.v5.11" hidden="1">Sheet1!$R$4:$R$61</definedName>
    <definedName name="_xlchart.v5.12" hidden="1">Sheet1!$J$3:$K$3</definedName>
    <definedName name="_xlchart.v5.13" hidden="1">Sheet1!$J$4:$K$61</definedName>
    <definedName name="_xlchart.v5.14" hidden="1">Sheet1!$L$3</definedName>
    <definedName name="_xlchart.v5.15" hidden="1">Sheet1!$L$4:$L$61</definedName>
    <definedName name="_xlchart.v5.2" hidden="1">Sheet1!$L$3</definedName>
    <definedName name="_xlchart.v5.3" hidden="1">Sheet1!$L$4:$L$61</definedName>
    <definedName name="_xlchart.v5.4" hidden="1">Sheet1!$P$3:$Q$3</definedName>
    <definedName name="_xlchart.v5.5" hidden="1">Sheet1!$P$4:$Q$61</definedName>
    <definedName name="_xlchart.v5.6" hidden="1">Sheet1!$R$3</definedName>
    <definedName name="_xlchart.v5.7" hidden="1">Sheet1!$R$4:$R$61</definedName>
    <definedName name="_xlchart.v5.8" hidden="1">Sheet1!$P$3:$Q$3</definedName>
    <definedName name="_xlchart.v5.9" hidden="1">Sheet1!$P$4:$Q$61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6" l="1"/>
  <c r="I4" i="6"/>
  <c r="H4" i="6"/>
  <c r="L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4" i="11"/>
  <c r="K53" i="11"/>
  <c r="K54" i="11"/>
  <c r="K55" i="11"/>
  <c r="K56" i="11"/>
  <c r="K57" i="11"/>
  <c r="K58" i="11"/>
  <c r="K59" i="11"/>
  <c r="K60" i="11"/>
  <c r="K61"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4"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 i="11"/>
  <c r="K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4" i="11"/>
  <c r="J4" i="7"/>
  <c r="K4" i="7"/>
  <c r="L4" i="7"/>
  <c r="M4" i="7"/>
  <c r="J6" i="7"/>
  <c r="K6" i="7"/>
  <c r="L6" i="7"/>
  <c r="M6" i="7"/>
  <c r="J7" i="7"/>
  <c r="K7" i="7"/>
  <c r="L7" i="7"/>
  <c r="M7" i="7"/>
  <c r="J8" i="7"/>
  <c r="K8" i="7"/>
  <c r="L8" i="7"/>
  <c r="M8" i="7"/>
  <c r="J9" i="7"/>
  <c r="K9" i="7"/>
  <c r="L9" i="7"/>
  <c r="M9" i="7"/>
  <c r="J5" i="7"/>
  <c r="K5" i="7"/>
  <c r="L5" i="7"/>
  <c r="M5" i="7"/>
  <c r="I6" i="7"/>
  <c r="I7" i="7"/>
  <c r="I8" i="7"/>
  <c r="I9" i="7"/>
  <c r="I5" i="7"/>
  <c r="L4" i="6"/>
  <c r="K4" i="6"/>
  <c r="N2" i="1"/>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<sst xmlns="http://schemas.openxmlformats.org/spreadsheetml/2006/main" count="14624" uniqueCount="2548">
  <si>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</si>
  <si>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</si>
  <si>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</si>
  <si>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</si>
  <si>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</si>
  <si>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</si>
  <si>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</si>
  <si>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</si>
  <si>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</si>
  <si>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</si>
  <si>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</si>
  <si>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</si>
  <si>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</si>
  <si>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</si>
  <si>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</si>
  <si>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</si>
  <si>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</si>
  <si>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</si>
  <si>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</si>
  <si>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</si>
  <si>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</si>
  <si>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</si>
  <si>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</si>
  <si>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</si>
  <si>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</si>
  <si>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</si>
  <si>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</si>
  <si>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</si>
  <si>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</si>
  <si>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</si>
  <si>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</si>
  <si>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</si>
  <si>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</si>
  <si>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</si>
  <si>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</si>
  <si>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</si>
  <si>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</si>
  <si>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</si>
  <si>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</si>
  <si>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</si>
  <si>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</si>
  <si>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</si>
  <si>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</si>
  <si>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</si>
  <si>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</si>
  <si>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</si>
  <si>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</si>
  <si>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</si>
  <si>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</si>
  <si>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</si>
  <si>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</si>
  <si>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</si>
  <si>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</si>
  <si>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</si>
  <si>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</si>
  <si>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</si>
  <si>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</si>
  <si>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</si>
  <si>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</si>
  <si>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</si>
  <si>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</si>
  <si>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</si>
  <si>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</si>
  <si>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</si>
  <si>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</si>
  <si>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</si>
  <si>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</si>
  <si>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</si>
  <si>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</si>
  <si>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</si>
  <si>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</si>
  <si>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</si>
  <si>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</si>
  <si>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</si>
  <si>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</si>
  <si>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</si>
  <si>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</si>
  <si>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</si>
  <si>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</si>
  <si>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</si>
  <si>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</si>
  <si>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</si>
  <si>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</si>
  <si>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</si>
  <si>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</si>
  <si>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</si>
  <si>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</si>
  <si>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</si>
  <si>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</si>
  <si>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</si>
  <si>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</si>
  <si>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</si>
  <si>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</si>
  <si>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</si>
  <si>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</si>
  <si>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</si>
  <si>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</si>
  <si>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</si>
  <si>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</si>
  <si>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</si>
  <si>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</si>
  <si>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</si>
  <si>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</si>
  <si>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</si>
  <si>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</si>
  <si>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</si>
  <si>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</si>
  <si>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</si>
  <si>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</si>
  <si>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</si>
  <si>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</si>
  <si>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</si>
  <si>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</si>
  <si>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</si>
  <si>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</si>
  <si>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</si>
  <si>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</si>
  <si>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</si>
  <si>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</si>
  <si>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</si>
  <si>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</si>
  <si>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</si>
  <si>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</si>
  <si>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</si>
  <si>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</si>
  <si>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</si>
  <si>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</si>
  <si>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</si>
  <si>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</si>
  <si>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</si>
  <si>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</si>
  <si>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</si>
  <si>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</si>
  <si>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</si>
  <si>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</si>
  <si>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</si>
  <si>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</si>
  <si>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</si>
  <si>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</si>
  <si>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</si>
  <si>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</si>
  <si>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</si>
  <si>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</si>
  <si>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</si>
  <si>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</si>
  <si>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</si>
  <si>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</si>
  <si>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</si>
  <si>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</si>
  <si>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</si>
  <si>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</si>
  <si>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</si>
  <si>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</si>
  <si>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</si>
  <si>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</si>
  <si>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</si>
  <si>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</si>
  <si>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</si>
  <si>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</si>
  <si>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</si>
  <si>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</si>
  <si>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</si>
  <si>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</si>
  <si>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</si>
  <si>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</si>
  <si>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</si>
  <si>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</si>
  <si>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</si>
  <si>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</si>
  <si>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</si>
  <si>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</si>
  <si>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</si>
  <si>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</si>
  <si>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</si>
  <si>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</si>
  <si>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</si>
  <si>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</si>
  <si>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</si>
  <si>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</si>
  <si>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</si>
  <si>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</si>
  <si>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</si>
  <si>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</si>
  <si>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</si>
  <si>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</si>
  <si>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</si>
  <si>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</si>
  <si>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</si>
  <si>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</si>
  <si>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</si>
  <si>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</si>
  <si>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</si>
  <si>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</si>
  <si>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</si>
  <si>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</si>
  <si>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</si>
  <si>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</si>
  <si>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</si>
  <si>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</si>
  <si>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</si>
  <si>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</si>
  <si>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</si>
  <si>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</si>
  <si>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</si>
  <si>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</si>
  <si>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</si>
  <si>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</si>
  <si>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</si>
  <si>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</si>
  <si>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</si>
  <si>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</si>
  <si>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</si>
  <si>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</si>
  <si>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</si>
  <si>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</si>
  <si>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</si>
  <si>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</si>
  <si>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</si>
  <si>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</si>
  <si>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</si>
  <si>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</si>
  <si>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</si>
  <si>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</si>
  <si>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</si>
  <si>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</si>
  <si>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</si>
  <si>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</si>
  <si>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</si>
  <si>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</si>
  <si>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</si>
  <si>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</si>
  <si>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</si>
  <si>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</si>
  <si>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</si>
  <si>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</si>
  <si>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</si>
  <si>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</si>
  <si>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</si>
  <si>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</si>
  <si>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</si>
  <si>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</si>
  <si>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</si>
  <si>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</si>
  <si>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</si>
  <si>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</si>
  <si>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</si>
  <si>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</si>
  <si>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</si>
  <si>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</si>
  <si>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</si>
  <si>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</si>
  <si>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</si>
  <si>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</si>
  <si>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</si>
  <si>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</si>
  <si>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</si>
  <si>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</si>
  <si>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</si>
  <si>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</si>
  <si>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</si>
  <si>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</si>
  <si>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</si>
  <si>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</si>
  <si>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</si>
  <si>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</si>
  <si>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</si>
  <si>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</si>
  <si>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</si>
  <si>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</si>
  <si>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</si>
  <si>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</si>
  <si>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</si>
  <si>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</si>
  <si>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</si>
  <si>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</si>
  <si>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</si>
  <si>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</si>
  <si>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</si>
  <si>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</si>
  <si>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</si>
  <si>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</si>
  <si>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</si>
  <si>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</si>
  <si>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</si>
  <si>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</si>
  <si>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</si>
  <si>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</si>
  <si>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</si>
  <si>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</si>
  <si>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</si>
  <si>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</si>
  <si>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</si>
  <si>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</si>
  <si>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</si>
  <si>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</si>
  <si>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</si>
  <si>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</si>
  <si>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</si>
  <si>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</si>
  <si>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</si>
  <si>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</si>
  <si>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</si>
  <si>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</si>
  <si>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</si>
  <si>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</si>
  <si>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</si>
  <si>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</si>
  <si>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</si>
  <si>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</si>
  <si>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</si>
  <si>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</si>
  <si>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</si>
  <si>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</si>
  <si>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</si>
  <si>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</si>
  <si>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</si>
  <si>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</si>
  <si>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</si>
  <si>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</si>
  <si>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</si>
  <si>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</si>
  <si>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</si>
  <si>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</si>
  <si>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</si>
  <si>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</si>
  <si>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</si>
  <si>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</si>
  <si>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</si>
  <si>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</si>
  <si>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</si>
  <si>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</si>
  <si>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</si>
  <si>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</si>
  <si>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</si>
  <si>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</si>
  <si>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</si>
  <si>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</si>
  <si>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</si>
  <si>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</si>
  <si>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</si>
  <si>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</si>
  <si>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</si>
  <si>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</si>
  <si>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</si>
  <si>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</si>
  <si>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</si>
  <si>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</si>
  <si>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</si>
  <si>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</si>
  <si>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</si>
  <si>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</si>
  <si>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</si>
  <si>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</si>
  <si>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</si>
  <si>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</si>
  <si>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</si>
  <si>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</si>
  <si>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</si>
  <si>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</si>
  <si>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</si>
  <si>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</si>
  <si>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</si>
  <si>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</si>
  <si>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</si>
  <si>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</si>
  <si>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</si>
  <si>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</si>
  <si>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</si>
  <si>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</si>
  <si>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</si>
  <si>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</si>
  <si>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</si>
  <si>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</si>
  <si>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</si>
  <si>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</si>
  <si>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</si>
  <si>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</si>
  <si>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</si>
  <si>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</si>
  <si>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</si>
  <si>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</si>
  <si>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</si>
  <si>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</si>
  <si>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</si>
  <si>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</si>
  <si>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</si>
  <si>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</si>
  <si>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</si>
  <si>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</si>
  <si>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</si>
  <si>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</si>
  <si>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</si>
  <si>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</si>
  <si>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</si>
  <si>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</si>
  <si>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</si>
  <si>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</si>
  <si>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</si>
  <si>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</si>
  <si>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</si>
  <si>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</si>
  <si>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</si>
  <si>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</si>
  <si>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</si>
  <si>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</si>
  <si>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</si>
  <si>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</si>
  <si>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</si>
  <si>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</si>
  <si>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</si>
  <si>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</si>
  <si>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</si>
  <si>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</si>
  <si>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</si>
  <si>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</si>
  <si>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</si>
  <si>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</si>
  <si>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</si>
  <si>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</si>
  <si>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</si>
  <si>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</si>
  <si>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</si>
  <si>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</si>
  <si>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</si>
  <si>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</si>
  <si>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</si>
  <si>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</si>
  <si>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</si>
  <si>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</si>
  <si>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</si>
  <si>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</si>
  <si>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</si>
  <si>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</si>
  <si>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</si>
  <si>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</si>
  <si>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</si>
  <si>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</si>
  <si>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</si>
  <si>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</si>
  <si>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</si>
  <si>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</si>
  <si>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</si>
  <si>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</si>
  <si>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</si>
  <si>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</si>
  <si>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</si>
  <si>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</si>
  <si>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</si>
  <si>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</si>
  <si>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</si>
  <si>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</si>
  <si>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</si>
  <si>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</si>
  <si>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</si>
  <si>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</si>
  <si>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</si>
  <si>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</si>
  <si>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</si>
  <si>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</si>
  <si>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</si>
  <si>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</si>
  <si>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</si>
  <si>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</si>
  <si>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</si>
  <si>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</si>
  <si>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</si>
  <si>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</si>
  <si>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</si>
  <si>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</si>
  <si>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</si>
  <si>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</si>
  <si>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</si>
  <si>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</si>
  <si>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</si>
  <si>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</si>
  <si>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</si>
  <si>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</si>
  <si>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</si>
  <si>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</si>
  <si>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</si>
  <si>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</si>
  <si>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</si>
  <si>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</si>
  <si>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</si>
  <si>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</si>
  <si>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</si>
  <si>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</si>
  <si>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</si>
  <si>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</si>
  <si>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</si>
  <si>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</si>
  <si>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</si>
  <si>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</si>
  <si>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</si>
  <si>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</si>
  <si>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</si>
  <si>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</si>
  <si>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</si>
  <si>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</si>
  <si>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</si>
  <si>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</si>
  <si>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</si>
  <si>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</si>
  <si>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</si>
  <si>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</si>
  <si>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</si>
  <si>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</si>
  <si>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</si>
  <si>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</si>
  <si>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</si>
  <si>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</si>
  <si>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</si>
  <si>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</si>
  <si>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</si>
  <si>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</si>
  <si>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</si>
  <si>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</si>
  <si>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</si>
  <si>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</si>
  <si>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</si>
  <si>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</si>
  <si>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</si>
  <si>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</si>
  <si>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</si>
  <si>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</si>
  <si>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</si>
  <si>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</si>
  <si>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</si>
  <si>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</si>
  <si>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</si>
  <si>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</si>
  <si>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</si>
  <si>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</si>
  <si>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</si>
  <si>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</si>
  <si>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</si>
  <si>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</si>
  <si>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</si>
  <si>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</si>
  <si>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</si>
  <si>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</si>
  <si>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</si>
  <si>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</si>
  <si>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</si>
  <si>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</si>
  <si>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</si>
  <si>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</si>
  <si>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</si>
  <si>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</si>
  <si>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</si>
  <si>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</si>
  <si>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</si>
  <si>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</si>
  <si>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</si>
  <si>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</si>
  <si>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</si>
  <si>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</si>
  <si>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</si>
  <si>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</si>
  <si>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</si>
  <si>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</si>
  <si>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</si>
  <si>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</si>
  <si>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</si>
  <si>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</si>
  <si>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</si>
  <si>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</si>
  <si>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</si>
  <si>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</si>
  <si>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</si>
  <si>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</si>
  <si>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</si>
  <si>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</si>
  <si>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</si>
  <si>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</si>
  <si>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</si>
  <si>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</si>
  <si>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</si>
  <si>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</si>
  <si>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</si>
  <si>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</si>
  <si>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</si>
  <si>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</si>
  <si>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</si>
  <si>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</si>
  <si>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</si>
  <si>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</si>
  <si>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</si>
  <si>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</si>
  <si>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</si>
  <si>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</si>
  <si>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</si>
  <si>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</si>
  <si>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</si>
  <si>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</si>
  <si>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</si>
  <si>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</si>
  <si>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</si>
  <si>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</si>
  <si>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</si>
  <si>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</si>
  <si>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</si>
  <si>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</si>
  <si>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</si>
  <si>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</si>
  <si>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</si>
  <si>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</si>
  <si>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</si>
  <si>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</si>
  <si>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</si>
  <si>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</si>
  <si>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</si>
  <si>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</si>
  <si>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</si>
  <si>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</si>
  <si>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</si>
  <si>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</si>
  <si>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</si>
  <si>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</si>
  <si>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</si>
  <si>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</si>
  <si>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</si>
  <si>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</si>
  <si>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</si>
  <si>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</si>
  <si>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</si>
  <si>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</si>
  <si>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</si>
  <si>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</si>
  <si>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</si>
  <si>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</si>
  <si>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</si>
  <si>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</si>
  <si>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</si>
  <si>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</si>
  <si>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</si>
  <si>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</si>
  <si>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</si>
  <si>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</si>
  <si>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</si>
  <si>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</si>
  <si>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</si>
  <si>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</si>
  <si>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</si>
  <si>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</si>
  <si>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</si>
  <si>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</si>
  <si>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</si>
  <si>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</si>
  <si>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</si>
  <si>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</si>
  <si>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</si>
  <si>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</si>
  <si>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</si>
  <si>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</si>
  <si>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</si>
  <si>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</si>
  <si>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</si>
  <si>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</si>
  <si>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</si>
  <si>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</si>
  <si>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</si>
  <si>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</si>
  <si>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</si>
  <si>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</si>
  <si>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</si>
  <si>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</si>
  <si>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</si>
  <si>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</si>
  <si>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</si>
  <si>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</si>
  <si>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</si>
  <si>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</si>
  <si>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</si>
  <si>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</si>
  <si>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</si>
  <si>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</si>
  <si>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</si>
  <si>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</si>
  <si>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</si>
  <si>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</si>
  <si>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</si>
  <si>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</si>
  <si>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</si>
  <si>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</si>
  <si>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</si>
  <si>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</si>
  <si>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</si>
  <si>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</si>
  <si>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</si>
  <si>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</si>
  <si>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</si>
  <si>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</si>
  <si>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</si>
  <si>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</si>
  <si>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</si>
  <si>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</si>
  <si>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</si>
  <si>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</si>
  <si>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</si>
  <si>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</si>
  <si>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</si>
  <si>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</si>
  <si>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</si>
  <si>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</si>
  <si>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</si>
  <si>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</si>
  <si>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</si>
  <si>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</si>
  <si>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</si>
  <si>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</si>
  <si>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</si>
  <si>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</si>
  <si>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</si>
  <si>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</si>
  <si>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</si>
  <si>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</si>
  <si>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</si>
  <si>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</si>
  <si>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</si>
  <si>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</si>
  <si>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</si>
  <si>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</si>
  <si>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</si>
  <si>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</si>
  <si>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</si>
  <si>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</si>
  <si>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</si>
  <si>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</si>
  <si>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</si>
  <si>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</si>
  <si>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</si>
  <si>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</si>
  <si>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</si>
  <si>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</si>
  <si>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</si>
  <si>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</si>
  <si>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</si>
  <si>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</si>
  <si>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</si>
  <si>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</si>
  <si>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</si>
  <si>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</si>
  <si>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</si>
  <si>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</si>
  <si>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</si>
  <si>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</si>
  <si>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</si>
  <si>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</si>
  <si>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</si>
  <si>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</si>
  <si>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</si>
  <si>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</si>
  <si>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</si>
  <si>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</si>
  <si>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</si>
  <si>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</si>
  <si>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</si>
  <si>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</si>
  <si>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</si>
  <si>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</si>
  <si>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</si>
  <si>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</si>
  <si>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</si>
  <si>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</si>
  <si>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</si>
  <si>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</si>
  <si>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</si>
  <si>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</si>
  <si>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</si>
  <si>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</si>
  <si>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</si>
  <si>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</si>
  <si>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</si>
  <si>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</si>
  <si>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</si>
  <si>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</si>
  <si>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</si>
  <si>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</si>
  <si>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</si>
  <si>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</si>
  <si>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</si>
  <si>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</si>
  <si>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</si>
  <si>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</si>
  <si>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</si>
  <si>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</si>
  <si>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</si>
  <si>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</si>
  <si>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</si>
  <si>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</si>
  <si>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</si>
  <si>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</si>
  <si>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</si>
  <si>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</si>
  <si>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</si>
  <si>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</si>
  <si>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</si>
  <si>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</si>
  <si>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</si>
  <si>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</si>
  <si>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</si>
  <si>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</si>
  <si>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</si>
  <si>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</si>
  <si>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</si>
  <si>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</si>
  <si>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</si>
  <si>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</si>
  <si>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</si>
  <si>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</si>
  <si>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</si>
  <si>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</si>
  <si>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</si>
  <si>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</si>
  <si>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</si>
  <si>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</si>
  <si>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</si>
  <si>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</si>
  <si>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</si>
  <si>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</si>
  <si>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</si>
  <si>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</si>
  <si>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</si>
  <si>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</si>
  <si>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</si>
  <si>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</si>
  <si>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</si>
  <si>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</si>
  <si>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</si>
  <si>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</si>
  <si>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</si>
  <si>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</si>
  <si>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</si>
  <si>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</si>
  <si>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</si>
  <si>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</si>
  <si>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</si>
  <si>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</si>
  <si>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</si>
  <si>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</si>
  <si>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</si>
  <si>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</si>
  <si>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</si>
  <si>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</si>
  <si>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</si>
  <si>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</si>
  <si>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</si>
  <si>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</si>
  <si>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</si>
  <si>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</si>
  <si>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</si>
  <si>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</si>
  <si>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</si>
  <si>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</si>
  <si>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</si>
  <si>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</si>
  <si>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</si>
  <si>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</si>
  <si>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</si>
  <si>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</si>
  <si>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</si>
  <si>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</si>
  <si>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</si>
  <si>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</si>
  <si>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</si>
  <si>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</si>
  <si>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</si>
  <si>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</si>
  <si>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</si>
  <si>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</si>
  <si>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</si>
  <si>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</si>
  <si>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</si>
  <si>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</si>
  <si>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</si>
  <si>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</si>
  <si>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</si>
  <si>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</si>
  <si>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</si>
  <si>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</si>
  <si>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</si>
  <si>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</si>
  <si>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</si>
  <si>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</si>
  <si>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</si>
  <si>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</si>
  <si>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</si>
  <si>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</si>
  <si>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</si>
  <si>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</si>
  <si>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</si>
  <si>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</si>
  <si>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</si>
  <si>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</si>
  <si>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</si>
  <si>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</si>
  <si>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</si>
  <si>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</si>
  <si>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</si>
  <si>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</si>
  <si>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</si>
  <si>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</si>
  <si>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</si>
  <si>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</si>
  <si>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</si>
  <si>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</si>
  <si>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</si>
  <si>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</si>
  <si>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</si>
  <si>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</si>
  <si>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</si>
  <si>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</si>
  <si>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</si>
  <si>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</si>
  <si>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</si>
  <si>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</si>
  <si>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</si>
  <si>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</si>
  <si>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</si>
  <si>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</si>
  <si>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</si>
  <si>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</si>
  <si>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</si>
  <si>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</si>
  <si>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</si>
  <si>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</si>
  <si>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</si>
  <si>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</si>
  <si>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</si>
  <si>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</si>
  <si>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</si>
  <si>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</si>
  <si>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</si>
  <si>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</si>
  <si>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</si>
  <si>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</si>
  <si>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</si>
  <si>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</si>
  <si>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</si>
  <si>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</si>
  <si>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</si>
  <si>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</si>
  <si>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</si>
  <si>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</si>
  <si>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</si>
  <si>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</si>
  <si>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</si>
  <si>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</si>
  <si>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</si>
  <si>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</si>
  <si>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</si>
  <si>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</si>
  <si>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</si>
  <si>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</si>
  <si>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</si>
  <si>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</si>
  <si>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</si>
  <si>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</si>
  <si>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</si>
  <si>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</si>
  <si>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</si>
  <si>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</si>
  <si>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</si>
  <si>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</si>
  <si>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</si>
  <si>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</si>
  <si>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</si>
  <si>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</si>
  <si>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</si>
  <si>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</si>
  <si>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</si>
  <si>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</si>
  <si>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</si>
  <si>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</si>
  <si>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</si>
  <si>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</si>
  <si>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</si>
  <si>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</si>
  <si>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</si>
  <si>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</si>
  <si>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</si>
  <si>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</si>
  <si>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</si>
  <si>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</si>
  <si>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</si>
  <si>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</si>
  <si>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</si>
  <si>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</si>
  <si>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</si>
  <si>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</si>
  <si>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</si>
  <si>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</si>
  <si>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</si>
  <si>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</si>
  <si>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</si>
  <si>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</si>
  <si>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</si>
  <si>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</si>
  <si>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</si>
  <si>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</si>
  <si>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</si>
  <si>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</si>
  <si>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</si>
  <si>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</si>
  <si>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</si>
  <si>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</si>
  <si>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</si>
  <si>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</si>
  <si>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</si>
  <si>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</si>
  <si>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</si>
  <si>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</si>
  <si>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</si>
  <si>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</si>
  <si>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</si>
  <si>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</si>
  <si>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</si>
  <si>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</si>
  <si>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</si>
  <si>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</si>
  <si>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</si>
  <si>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</si>
  <si>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</si>
  <si>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</si>
  <si>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</si>
  <si>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</si>
  <si>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</si>
  <si>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</si>
  <si>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</si>
  <si>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</si>
  <si>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</si>
  <si>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</si>
  <si>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</si>
  <si>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</si>
  <si>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</si>
  <si>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</si>
  <si>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</si>
  <si>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</si>
  <si>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</si>
  <si>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</si>
  <si>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</si>
  <si>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</si>
  <si>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</si>
  <si>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</si>
  <si>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</si>
  <si>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</si>
  <si>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</si>
  <si>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</si>
  <si>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</si>
  <si>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</si>
  <si>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</si>
  <si>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</si>
  <si>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</si>
  <si>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</si>
  <si>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</si>
  <si>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</si>
  <si>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</si>
  <si>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</si>
  <si>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</si>
  <si>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</si>
  <si>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</si>
  <si>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</si>
  <si>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</si>
  <si>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</si>
  <si>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</si>
  <si>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</si>
  <si>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</si>
  <si>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</si>
  <si>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</si>
  <si>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</si>
  <si>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</si>
  <si>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</si>
  <si>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</si>
  <si>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</si>
  <si>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</si>
  <si>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</si>
  <si>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</si>
  <si>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</si>
  <si>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</si>
  <si>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</si>
  <si>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</si>
  <si>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</si>
  <si>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</si>
  <si>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</si>
  <si>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</si>
  <si>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</si>
  <si>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</si>
  <si>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</si>
  <si>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</si>
  <si>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</si>
  <si>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</si>
  <si>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</si>
  <si>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</si>
  <si>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</si>
  <si>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</si>
  <si>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</si>
  <si>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</si>
  <si>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</si>
  <si>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</si>
  <si>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</si>
  <si>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</si>
  <si>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</si>
  <si>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</si>
  <si>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</si>
  <si>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</si>
  <si>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</si>
  <si>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</si>
  <si>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</si>
  <si>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</si>
  <si>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</si>
  <si>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</si>
  <si>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</si>
  <si>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</si>
  <si>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</si>
  <si>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</si>
  <si>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</si>
  <si>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</si>
  <si>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</si>
  <si>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</si>
  <si>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</si>
  <si>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</si>
  <si>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</si>
  <si>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</si>
  <si>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</si>
  <si>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</si>
  <si>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</si>
  <si>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</si>
  <si>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</si>
  <si>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</si>
  <si>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</si>
  <si>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</si>
  <si>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</si>
  <si>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</si>
  <si>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</si>
  <si>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</si>
  <si>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</si>
  <si>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</si>
  <si>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</si>
  <si>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</si>
  <si>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</si>
  <si>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</si>
  <si>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</si>
  <si>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</si>
  <si>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</si>
  <si>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</si>
  <si>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</si>
  <si>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</si>
  <si>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</si>
  <si>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</si>
  <si>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</si>
  <si>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</si>
  <si>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</si>
  <si>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</si>
  <si>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</si>
  <si>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</si>
  <si>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</si>
  <si>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</si>
  <si>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</si>
  <si>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</si>
  <si>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</si>
  <si>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</si>
  <si>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</si>
  <si>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</si>
  <si>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</si>
  <si>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</si>
  <si>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</si>
  <si>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</si>
  <si>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</si>
  <si>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</si>
  <si>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</si>
  <si>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</si>
  <si>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</si>
  <si>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</si>
  <si>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</si>
  <si>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</si>
  <si>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</si>
  <si>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</si>
  <si>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</si>
  <si>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</si>
  <si>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</si>
  <si>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</si>
  <si>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</si>
  <si>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</si>
  <si>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</si>
  <si>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</si>
  <si>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</si>
  <si>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</si>
  <si>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</si>
  <si>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</si>
  <si>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</si>
  <si>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</si>
  <si>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</si>
  <si>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</si>
  <si>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</si>
  <si>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</si>
  <si>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</si>
  <si>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</si>
  <si>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</si>
  <si>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</si>
  <si>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</si>
  <si>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</si>
  <si>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</si>
  <si>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</si>
  <si>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</si>
  <si>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</si>
  <si>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</si>
  <si>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</si>
  <si>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</si>
  <si>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</si>
  <si>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</si>
  <si>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</si>
  <si>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</si>
  <si>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</si>
  <si>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</si>
  <si>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</si>
  <si>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</si>
  <si>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</si>
  <si>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</si>
  <si>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</si>
  <si>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</si>
  <si>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</si>
  <si>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</si>
  <si>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</si>
  <si>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</si>
  <si>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</si>
  <si>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</si>
  <si>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</si>
  <si>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</si>
  <si>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</si>
  <si>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</si>
  <si>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</si>
  <si>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</si>
  <si>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</si>
  <si>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</si>
  <si>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</si>
  <si>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</si>
  <si>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</si>
  <si>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</si>
  <si>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</si>
  <si>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</si>
  <si>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</si>
  <si>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</si>
  <si>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</si>
  <si>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</si>
  <si>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</si>
  <si>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</si>
  <si>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</si>
  <si>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</si>
  <si>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</si>
  <si>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</si>
  <si>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</si>
  <si>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</si>
  <si>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</si>
  <si>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</si>
  <si>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</si>
  <si>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</si>
  <si>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</si>
  <si>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</si>
  <si>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</si>
  <si>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</si>
  <si>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</si>
  <si>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</si>
  <si>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</si>
  <si>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</si>
  <si>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</si>
  <si>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</si>
  <si>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</si>
  <si>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</si>
  <si>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</si>
  <si>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</si>
  <si>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</si>
  <si>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</si>
  <si>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</si>
  <si>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</si>
  <si>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</si>
  <si>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</si>
  <si>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</si>
  <si>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</si>
  <si>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</si>
  <si>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</si>
  <si>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</si>
  <si>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</si>
  <si>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</si>
  <si>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</si>
  <si>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</si>
  <si>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</si>
  <si>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</si>
  <si>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</si>
  <si>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</si>
  <si>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</si>
  <si>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</si>
  <si>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</si>
  <si>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</si>
  <si>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</si>
  <si>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</si>
  <si>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</si>
  <si>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</si>
  <si>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</si>
  <si>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</si>
  <si>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</si>
  <si>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</si>
  <si>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</si>
  <si>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</si>
  <si>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</si>
  <si>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</si>
  <si>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</si>
  <si>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</si>
  <si>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</si>
  <si>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</si>
  <si>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</si>
  <si>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</si>
  <si>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</si>
  <si>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</si>
  <si>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</si>
  <si>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</si>
  <si>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</si>
  <si>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</si>
  <si>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</si>
  <si>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</si>
  <si>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</si>
  <si>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</si>
  <si>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</si>
  <si>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</si>
  <si>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</si>
  <si>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</si>
  <si>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</si>
  <si>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</si>
  <si>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</si>
  <si>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</si>
  <si>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</si>
  <si>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</si>
  <si>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</si>
  <si>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</si>
  <si>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</si>
  <si>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</si>
  <si>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</si>
  <si>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</si>
  <si>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</si>
  <si>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</si>
  <si>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</si>
  <si>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</si>
  <si>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</si>
  <si>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</si>
  <si>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</si>
  <si>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</si>
  <si>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</si>
  <si>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</si>
  <si>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</si>
  <si>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</si>
  <si>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</si>
  <si>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</si>
  <si>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</si>
  <si>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</si>
  <si>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</si>
  <si>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</si>
  <si>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</si>
  <si>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</si>
  <si>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</si>
  <si>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</si>
  <si>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</si>
  <si>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</si>
  <si>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</si>
  <si>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</si>
  <si>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</si>
  <si>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</si>
  <si>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</si>
  <si>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</si>
  <si>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</si>
  <si>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</si>
  <si>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</si>
  <si>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</si>
  <si>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</si>
  <si>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</si>
  <si>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</si>
  <si>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</si>
  <si>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</si>
  <si>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</si>
  <si>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</si>
  <si>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</si>
  <si>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</si>
  <si>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</si>
  <si>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</si>
  <si>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</si>
  <si>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</si>
  <si>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</si>
  <si>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</si>
  <si>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</si>
  <si>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</si>
  <si>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</si>
  <si>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</si>
  <si>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</si>
  <si>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</si>
  <si>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</si>
  <si>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</si>
  <si>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</si>
  <si>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</si>
  <si>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</si>
  <si>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</si>
  <si>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</si>
  <si>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</si>
  <si>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</si>
  <si>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</si>
  <si>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</si>
  <si>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</si>
  <si>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</si>
  <si>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</si>
  <si>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</si>
  <si>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</si>
  <si>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</si>
  <si>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</si>
  <si>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</si>
  <si>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</si>
  <si>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</si>
  <si>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</si>
  <si>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</si>
  <si>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</si>
  <si>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</si>
  <si>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</si>
  <si>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</si>
  <si>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</si>
  <si>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</si>
  <si>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</si>
  <si>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</si>
  <si>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</si>
  <si>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</si>
  <si>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</si>
  <si>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</si>
  <si>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</si>
  <si>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</si>
  <si>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</si>
  <si>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</si>
  <si>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</si>
  <si>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</si>
  <si>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</si>
  <si>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</si>
  <si>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</si>
  <si>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</si>
  <si>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</si>
  <si>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</si>
  <si>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</si>
  <si>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</si>
  <si>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</si>
  <si>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</si>
  <si>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</si>
  <si>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</si>
  <si>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</si>
  <si>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</si>
  <si>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</si>
  <si>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</si>
  <si>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</si>
  <si>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</si>
  <si>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</si>
  <si>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</si>
  <si>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</si>
  <si>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</si>
  <si>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</si>
  <si>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</si>
  <si>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</si>
  <si>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</si>
  <si>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</si>
  <si>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</si>
  <si>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</si>
  <si>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</si>
  <si>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</si>
  <si>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</si>
  <si>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</si>
  <si>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</si>
  <si>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</si>
  <si>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</si>
  <si>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</si>
  <si>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</si>
  <si>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</si>
  <si>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</si>
  <si>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</si>
  <si>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</si>
  <si>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</si>
  <si>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</si>
  <si>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</si>
  <si>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</si>
  <si>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</si>
  <si>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</si>
  <si>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</si>
  <si>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</si>
  <si>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</si>
  <si>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</si>
  <si>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</si>
  <si>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</si>
  <si>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</si>
  <si>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</si>
  <si>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</si>
  <si>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</si>
  <si>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</si>
  <si>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</si>
  <si>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</si>
  <si>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</si>
  <si>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</si>
  <si>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</si>
  <si>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</si>
  <si>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</si>
  <si>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</si>
  <si>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</si>
  <si>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</si>
  <si>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</si>
  <si>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</si>
  <si>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</si>
  <si>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</si>
  <si>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</si>
  <si>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</si>
  <si>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</si>
  <si>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</si>
  <si>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</si>
  <si>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</si>
  <si>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</si>
  <si>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</si>
  <si>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</si>
  <si>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</si>
  <si>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</si>
  <si>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</si>
  <si>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</si>
  <si>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</si>
  <si>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</si>
  <si>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</si>
  <si>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</si>
  <si>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</si>
  <si>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</si>
  <si>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</si>
  <si>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</si>
  <si>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</si>
  <si>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</si>
  <si>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</si>
  <si>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</si>
  <si>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</si>
  <si>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</si>
  <si>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</si>
  <si>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</si>
  <si>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</si>
  <si>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</si>
  <si>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</si>
  <si>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</si>
  <si>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</si>
  <si>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</si>
  <si>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</si>
  <si>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</si>
  <si>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</si>
  <si>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</si>
  <si>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</si>
  <si>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</si>
  <si>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</si>
  <si>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</si>
  <si>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</si>
  <si>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</si>
  <si>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</si>
  <si>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</si>
  <si>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</si>
  <si>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</si>
  <si>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</si>
  <si>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</si>
  <si>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</si>
  <si>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</si>
  <si>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</si>
  <si>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</si>
  <si>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</si>
  <si>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</si>
  <si>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</si>
  <si>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</si>
  <si>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</si>
  <si>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</si>
  <si>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</si>
  <si>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</si>
  <si>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</si>
  <si>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</si>
  <si>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</si>
  <si>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</si>
  <si>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</si>
  <si>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</si>
  <si>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</si>
  <si>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</si>
  <si>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</si>
  <si>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</si>
  <si>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</si>
  <si>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</si>
  <si>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</si>
  <si>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</si>
  <si>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</si>
  <si>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</si>
  <si>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</si>
  <si>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</si>
  <si>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</si>
  <si>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</si>
  <si>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</si>
  <si>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</si>
  <si>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</si>
  <si>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</si>
  <si>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</si>
  <si>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</si>
  <si>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</si>
  <si>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</si>
  <si>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</si>
  <si>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</si>
  <si>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</si>
  <si>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</si>
  <si>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</si>
  <si>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</si>
  <si>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</si>
  <si>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</si>
  <si>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</si>
  <si>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</si>
  <si>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</si>
  <si>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</si>
  <si>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</si>
  <si>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</si>
  <si>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</si>
  <si>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</si>
  <si>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</si>
  <si>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</si>
  <si>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</si>
  <si>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</si>
  <si>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</si>
  <si>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</si>
  <si>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</si>
  <si>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</si>
  <si>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</si>
  <si>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</si>
  <si>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</si>
  <si>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</si>
  <si>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</si>
  <si>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</si>
  <si>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</si>
  <si>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</si>
  <si>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</si>
  <si>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</si>
  <si>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</si>
  <si>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</si>
  <si>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</si>
  <si>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</si>
  <si>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</si>
  <si>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</si>
  <si>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</si>
  <si>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</si>
  <si>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</si>
  <si>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</si>
  <si>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</si>
  <si>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</si>
  <si>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</si>
  <si>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</si>
  <si>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</si>
  <si>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</si>
  <si>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</si>
  <si>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</si>
  <si>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</si>
  <si>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</si>
  <si>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</si>
  <si>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</si>
  <si>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</si>
  <si>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</si>
  <si>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</si>
  <si>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</si>
  <si>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</si>
  <si>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</si>
  <si>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</si>
  <si>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</si>
  <si>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</si>
  <si>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</si>
  <si>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</si>
  <si>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</si>
  <si>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</si>
  <si>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</si>
  <si>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</si>
  <si>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</si>
  <si>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</si>
  <si>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</si>
  <si>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</si>
  <si>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</si>
  <si>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</si>
  <si>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</si>
  <si>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</si>
  <si>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</si>
  <si>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</si>
  <si>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</si>
  <si>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</si>
  <si>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</si>
  <si>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</si>
  <si>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</si>
  <si>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</si>
  <si>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</si>
  <si>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</si>
  <si>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</si>
  <si>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</si>
  <si>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</si>
  <si>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</si>
  <si>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</si>
  <si>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</si>
  <si>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</si>
  <si>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</si>
  <si>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</si>
  <si>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</si>
  <si>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</si>
  <si>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</si>
  <si>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</si>
  <si>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</si>
  <si>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</si>
  <si>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</si>
  <si>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</si>
  <si>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</si>
  <si>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</si>
  <si>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</si>
  <si>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</si>
  <si>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</si>
  <si>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</si>
  <si>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</si>
  <si>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</si>
  <si>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</si>
  <si>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</si>
  <si>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</si>
  <si>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</si>
  <si>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</si>
  <si>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</si>
  <si>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</si>
  <si>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</si>
  <si>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</si>
  <si>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</si>
  <si>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</si>
  <si>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</si>
  <si>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</si>
  <si>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</si>
  <si>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</si>
  <si>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</si>
  <si>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</si>
  <si>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</si>
  <si>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</si>
  <si>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</si>
  <si>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</si>
  <si>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</si>
  <si>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</si>
  <si>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</si>
  <si>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</si>
  <si>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</si>
  <si>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</si>
  <si>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</si>
  <si>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</si>
  <si>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</si>
  <si>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</si>
  <si>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</si>
  <si>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</si>
  <si>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</si>
  <si>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</si>
  <si>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</si>
  <si>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</si>
  <si>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</si>
  <si>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</si>
  <si>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</si>
  <si>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</si>
  <si>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</si>
  <si>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</si>
  <si>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</si>
  <si>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</si>
  <si>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</si>
  <si>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</si>
  <si>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</si>
  <si>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</si>
  <si>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</si>
  <si>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</si>
  <si>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</si>
  <si>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</si>
  <si>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</si>
  <si>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</si>
  <si>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</si>
  <si>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</si>
  <si>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</si>
  <si>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</si>
  <si>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</si>
  <si>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</si>
  <si>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</si>
  <si>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</si>
  <si>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</si>
  <si>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</si>
  <si>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</si>
  <si>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</si>
  <si>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</si>
  <si>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</si>
  <si>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</si>
  <si>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</si>
  <si>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</si>
  <si>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</si>
  <si>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</si>
  <si>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</si>
  <si>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</si>
  <si>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</si>
  <si>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</si>
  <si>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</si>
  <si>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</si>
  <si>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</si>
  <si>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</si>
  <si>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</si>
  <si>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</si>
  <si>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</si>
  <si>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</si>
  <si>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</si>
  <si>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</si>
  <si>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</si>
  <si>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</si>
  <si>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</si>
  <si>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</si>
  <si>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</si>
  <si>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</si>
  <si>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</si>
  <si>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</si>
  <si>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</si>
  <si>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</si>
  <si>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</si>
  <si>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</si>
  <si>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</si>
  <si>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</si>
  <si>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</si>
  <si>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</si>
  <si>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</si>
  <si>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</si>
  <si>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</si>
  <si>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</si>
  <si>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</si>
  <si>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</si>
  <si>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</si>
  <si>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</si>
  <si>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</si>
  <si>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</si>
  <si>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</si>
  <si>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</si>
  <si>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</si>
  <si>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</si>
  <si>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</si>
  <si>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</si>
  <si>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</si>
  <si>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</si>
  <si>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</si>
  <si>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</si>
  <si>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</si>
  <si>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</si>
  <si>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</si>
  <si>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</si>
  <si>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</si>
  <si>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</si>
  <si>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</si>
  <si>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</si>
  <si>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</si>
  <si>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</si>
  <si>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</si>
  <si>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</si>
  <si>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</si>
  <si>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</si>
  <si>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</si>
  <si>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</si>
  <si>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</si>
  <si>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</si>
  <si>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</si>
  <si>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</si>
  <si>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</si>
  <si>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</si>
  <si>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</si>
  <si>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</si>
  <si>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</si>
  <si>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</si>
  <si>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</si>
  <si>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</si>
  <si>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</si>
  <si>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</si>
  <si>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</si>
  <si>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</si>
  <si>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</si>
  <si>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</si>
  <si>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</si>
  <si>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</si>
  <si>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</si>
  <si>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</si>
  <si>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</si>
  <si>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</si>
  <si>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</si>
  <si>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</si>
  <si>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</si>
  <si>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</si>
  <si>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</si>
  <si>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</si>
  <si>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</si>
  <si>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</si>
  <si>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</si>
  <si>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</si>
  <si>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</si>
  <si>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</si>
  <si>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</si>
  <si>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</si>
  <si>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</si>
  <si>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</si>
  <si>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</si>
  <si>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</si>
  <si>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</si>
  <si>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</si>
  <si>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</si>
  <si>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</si>
  <si>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</si>
  <si>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</si>
  <si>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</si>
  <si>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</si>
  <si>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</si>
  <si>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</si>
  <si>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</si>
  <si>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</si>
  <si>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</si>
  <si>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</si>
  <si>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</si>
  <si>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</si>
  <si>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</si>
  <si>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</si>
  <si>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</si>
  <si>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</si>
  <si>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</si>
  <si>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</si>
  <si>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</si>
  <si>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</si>
  <si>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</si>
  <si>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</si>
  <si>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</si>
  <si>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</si>
  <si>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</si>
  <si>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</si>
  <si>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</si>
  <si>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</si>
  <si>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</si>
  <si>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</si>
  <si>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</si>
  <si>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</si>
  <si>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</si>
  <si>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</si>
  <si>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</si>
  <si>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</si>
  <si>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</si>
  <si>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</si>
  <si>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</si>
  <si>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</si>
  <si>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</si>
  <si>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</si>
  <si>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</si>
  <si>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</si>
  <si>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</si>
  <si>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</si>
  <si>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</si>
  <si>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</si>
  <si>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</si>
  <si>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</si>
  <si>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</si>
  <si>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</si>
  <si>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</si>
  <si>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</si>
  <si>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</si>
  <si>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</si>
  <si>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</si>
  <si>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</si>
  <si>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</si>
  <si>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</si>
  <si>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</si>
  <si>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</si>
  <si>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</si>
  <si>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</si>
  <si>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</si>
  <si>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</si>
  <si>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</si>
  <si>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</si>
  <si>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</si>
  <si>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</si>
  <si>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</si>
  <si>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</si>
  <si>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</si>
  <si>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</si>
  <si>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</si>
  <si>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</si>
  <si>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</si>
  <si>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</si>
  <si>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</si>
  <si>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</si>
  <si>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</si>
  <si>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</si>
  <si>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</si>
  <si>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</si>
  <si>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</si>
  <si>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</si>
  <si>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</si>
  <si>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</si>
  <si>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</si>
  <si>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</si>
  <si>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</si>
  <si>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</si>
  <si>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</si>
  <si>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</si>
  <si>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</si>
  <si>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</si>
  <si>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</si>
  <si>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</si>
  <si>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</si>
  <si>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</si>
  <si>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</si>
  <si>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</si>
  <si>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</si>
  <si>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</si>
  <si>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</si>
  <si>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</si>
  <si>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</si>
  <si>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</si>
  <si>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</si>
  <si>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</si>
  <si>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</si>
  <si>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</si>
  <si>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</si>
  <si>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</si>
  <si>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</si>
  <si>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</si>
  <si>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</si>
  <si>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</si>
  <si>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</si>
  <si>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</si>
  <si>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</si>
  <si>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</si>
  <si>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</si>
  <si>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</si>
  <si>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</si>
  <si>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</si>
  <si>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</si>
  <si>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</si>
  <si>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</si>
  <si>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</si>
  <si>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</si>
  <si>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</si>
  <si>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</si>
  <si>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</si>
  <si>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</si>
  <si>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</si>
  <si>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</si>
  <si>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</si>
  <si>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</si>
  <si>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</si>
  <si>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</si>
  <si>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</si>
  <si>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</si>
  <si>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</si>
  <si>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</si>
  <si>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</si>
  <si>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</si>
  <si>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</si>
  <si>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</si>
  <si>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</si>
  <si>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</si>
  <si>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</si>
  <si>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</si>
  <si>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</si>
  <si>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</si>
  <si>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</si>
  <si>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</si>
  <si>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</si>
  <si>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</si>
  <si>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</si>
  <si>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</si>
  <si>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</si>
  <si>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</si>
  <si>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</si>
  <si>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</si>
  <si>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</si>
  <si>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</si>
  <si>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</si>
  <si>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</si>
  <si>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</si>
  <si>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</si>
  <si>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</si>
  <si>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</si>
  <si>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</si>
  <si>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</si>
  <si>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</si>
  <si>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</si>
  <si>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</si>
  <si>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</si>
  <si>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</si>
  <si>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</si>
  <si>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</si>
  <si>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</si>
  <si>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</si>
  <si>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</si>
  <si>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</si>
  <si>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</si>
  <si>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</si>
  <si>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</si>
  <si>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</si>
  <si>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</si>
  <si>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</si>
  <si>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</si>
  <si>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</si>
  <si>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</si>
  <si>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</si>
  <si>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</si>
  <si>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</si>
  <si>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</si>
  <si>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</si>
  <si>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</si>
  <si>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</si>
  <si>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</si>
  <si>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</si>
  <si>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</si>
  <si>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</si>
  <si>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</si>
  <si>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</si>
  <si>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</si>
  <si>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</si>
  <si>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</si>
  <si>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</si>
  <si>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</si>
  <si>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</si>
  <si>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</si>
  <si>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</si>
  <si>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</si>
  <si>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</si>
  <si>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</si>
  <si>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</si>
  <si>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</si>
  <si>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</si>
  <si>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</si>
  <si>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</si>
  <si>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</si>
  <si>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</si>
  <si>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</si>
  <si>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</si>
  <si>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</si>
  <si>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</si>
  <si>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</si>
  <si>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</si>
  <si>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</si>
  <si>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</si>
  <si>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</si>
  <si>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</si>
  <si>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</si>
  <si>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</si>
  <si>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</si>
  <si>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</si>
  <si>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</si>
  <si>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</si>
  <si>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</si>
  <si>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</si>
  <si>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</si>
  <si>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</si>
  <si>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</si>
  <si>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</si>
  <si>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</si>
  <si>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</si>
  <si>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</si>
  <si>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</si>
  <si>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</si>
  <si>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</si>
  <si>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</si>
  <si>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</si>
  <si>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</si>
  <si>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</si>
  <si>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</si>
  <si>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</si>
  <si>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</si>
  <si>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</si>
  <si>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</si>
  <si>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</si>
  <si>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</si>
  <si>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</si>
  <si>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</si>
  <si>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</si>
  <si>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</si>
  <si>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</si>
  <si>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</si>
  <si>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</si>
  <si>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</si>
  <si>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</si>
  <si>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</si>
  <si>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</si>
  <si>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</si>
  <si>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</si>
  <si>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</si>
  <si>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</si>
  <si>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</si>
  <si>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</si>
  <si>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</si>
  <si>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</si>
  <si>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</si>
  <si>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</si>
  <si>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</si>
  <si>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</si>
  <si>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</si>
  <si>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</si>
  <si>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</si>
  <si>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</si>
  <si>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</si>
  <si>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</si>
  <si>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</si>
  <si>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</si>
  <si>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</si>
  <si>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</si>
  <si>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</si>
  <si>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</si>
  <si>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</si>
  <si>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</si>
  <si>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</si>
  <si>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</si>
  <si>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</si>
  <si>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</si>
  <si>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</si>
  <si>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</si>
  <si>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</si>
  <si>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</si>
  <si>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</si>
  <si>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</si>
  <si>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</si>
  <si>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</si>
  <si>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</si>
  <si>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</si>
  <si>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</si>
  <si>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</si>
  <si>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</si>
  <si>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</si>
  <si>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</si>
  <si>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</si>
  <si>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</si>
  <si>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</si>
  <si>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</si>
  <si>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</si>
  <si>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</si>
  <si>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</si>
  <si>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</si>
  <si>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</si>
  <si>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</si>
  <si>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</si>
  <si>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</si>
  <si>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</si>
  <si>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</si>
  <si>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</si>
  <si>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</si>
  <si>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</si>
  <si>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</si>
  <si>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</si>
  <si>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</si>
  <si>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</si>
  <si>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</si>
  <si>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</si>
  <si>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</si>
  <si>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</si>
  <si>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</si>
  <si>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</si>
  <si>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</si>
  <si>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</si>
  <si>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</si>
  <si>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</si>
  <si>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</si>
  <si>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</si>
  <si>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</si>
  <si>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</si>
  <si>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</si>
  <si>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</si>
  <si>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</si>
  <si>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</si>
  <si>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</si>
  <si>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</si>
  <si>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</si>
  <si>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</si>
  <si>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</si>
  <si>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</si>
  <si>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</si>
  <si>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</si>
  <si>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</si>
  <si>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</si>
  <si>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</si>
  <si>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</si>
  <si>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</si>
  <si>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</si>
  <si>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</si>
  <si>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</si>
  <si>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</si>
  <si>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</si>
  <si>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</si>
  <si>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</si>
  <si>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</si>
  <si>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</si>
  <si>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</si>
  <si>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</si>
  <si>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</si>
  <si>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</si>
  <si>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</si>
  <si>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</si>
  <si>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</si>
  <si>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</si>
  <si>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</si>
  <si>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</si>
  <si>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</si>
  <si>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</si>
  <si>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</si>
  <si>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</si>
  <si>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</si>
  <si>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</si>
  <si>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</si>
  <si>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</si>
  <si>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</si>
  <si>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</si>
  <si>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</si>
  <si>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</si>
  <si>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</si>
  <si>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</si>
  <si>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</si>
  <si>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</si>
  <si>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</si>
  <si>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</si>
  <si>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</si>
  <si>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</si>
  <si>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</si>
  <si>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</si>
  <si>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</si>
  <si>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</si>
  <si>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</si>
  <si>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</si>
  <si>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</si>
  <si>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</si>
  <si>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</si>
  <si>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</si>
  <si>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</si>
  <si>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</si>
  <si>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</si>
  <si>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</si>
  <si>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</si>
  <si>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</si>
  <si>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</si>
  <si>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</si>
  <si>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</si>
  <si>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</si>
  <si>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</si>
  <si>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</si>
  <si>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</si>
  <si>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</si>
  <si>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</si>
  <si>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</si>
  <si>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</si>
  <si>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</si>
  <si>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</si>
  <si>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</si>
  <si>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</si>
  <si>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</si>
  <si>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</si>
  <si>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</si>
  <si>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</si>
  <si>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</si>
  <si>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</si>
  <si>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</si>
  <si>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</si>
  <si>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</si>
  <si>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</si>
  <si>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</si>
  <si>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</si>
  <si>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</si>
  <si>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</si>
  <si>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</si>
  <si>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</si>
  <si>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</si>
  <si>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</si>
  <si>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</si>
  <si>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</si>
  <si>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</si>
  <si>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</si>
  <si>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</si>
  <si>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</si>
  <si>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</si>
  <si>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</si>
  <si>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</si>
  <si>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</si>
  <si>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</si>
  <si>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</si>
  <si>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</si>
  <si>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</si>
  <si>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</si>
  <si>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</si>
  <si>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</si>
  <si>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</si>
  <si>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</si>
  <si>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</si>
  <si>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</si>
  <si>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</si>
  <si>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</si>
  <si>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</si>
  <si>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</si>
  <si>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</si>
  <si>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</si>
  <si>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</si>
  <si>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</si>
  <si>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</si>
  <si>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</si>
  <si>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</si>
  <si>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</si>
  <si>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</si>
  <si>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</si>
  <si>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</si>
  <si>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</si>
  <si>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</si>
  <si>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</si>
  <si>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</si>
  <si>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</si>
  <si>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</si>
  <si>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</si>
  <si>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</si>
  <si>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</si>
  <si>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</si>
  <si>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</si>
  <si>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</si>
  <si>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</si>
  <si>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</si>
  <si>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</si>
  <si>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</si>
  <si>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</si>
  <si>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</si>
  <si>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</si>
  <si>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</si>
  <si>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</si>
  <si>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</si>
  <si>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</si>
  <si>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</si>
  <si>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</si>
  <si>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</si>
  <si>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</si>
  <si>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</si>
  <si>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</si>
  <si>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</si>
  <si>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</si>
  <si>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</si>
  <si>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</si>
  <si>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</si>
  <si>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</si>
  <si>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</si>
  <si>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</si>
  <si>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</si>
  <si>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</si>
  <si>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</si>
  <si>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</si>
  <si>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</si>
  <si>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</si>
  <si>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</si>
  <si>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</si>
  <si>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</si>
  <si>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</si>
  <si>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</si>
  <si>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</si>
  <si>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</si>
  <si>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</si>
  <si>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</si>
  <si>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</si>
  <si>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</si>
  <si>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</si>
  <si>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</si>
  <si>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</si>
  <si>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</si>
  <si>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</si>
  <si>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</si>
  <si>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</si>
  <si>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</si>
  <si>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</si>
  <si>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</si>
  <si>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</si>
  <si>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</si>
  <si>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</si>
  <si>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</si>
  <si>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</si>
  <si>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</si>
  <si>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</si>
  <si>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</si>
  <si>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</si>
  <si>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</si>
  <si>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</si>
  <si>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</si>
  <si>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</si>
  <si>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</si>
  <si>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</si>
  <si>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</si>
  <si>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</si>
  <si>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</si>
  <si>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</si>
  <si>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</si>
  <si>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</si>
  <si>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</si>
  <si>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</si>
  <si>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</si>
  <si>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</si>
  <si>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</si>
  <si>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</si>
  <si>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</si>
  <si>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</si>
  <si>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</si>
  <si>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</si>
  <si>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</si>
  <si>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</si>
  <si>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</si>
  <si>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</si>
  <si>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</si>
  <si>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</si>
  <si>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</si>
  <si>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</si>
  <si>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</si>
  <si>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</si>
  <si>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</si>
  <si>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</si>
  <si>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</si>
  <si>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</si>
  <si>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</si>
  <si>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</si>
  <si>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</si>
  <si>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</si>
  <si>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</si>
  <si>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</si>
  <si>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</si>
  <si>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</si>
  <si>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</si>
  <si>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</si>
  <si>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</si>
  <si>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</si>
  <si>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</si>
  <si>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</si>
  <si>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</si>
  <si>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Rating</t>
  </si>
  <si>
    <t>Row Labels</t>
  </si>
  <si>
    <t>Grand Total</t>
  </si>
  <si>
    <t>Count of TX ID</t>
  </si>
  <si>
    <t>Sum of Quantity</t>
  </si>
  <si>
    <t>Average of Rating C</t>
  </si>
  <si>
    <t>Average of Days to Deliver</t>
  </si>
  <si>
    <t>Values for display</t>
  </si>
  <si>
    <t>Qty</t>
  </si>
  <si>
    <t>Sum of Amount</t>
  </si>
  <si>
    <t>Days to deliever</t>
  </si>
  <si>
    <t>Female</t>
  </si>
  <si>
    <t>Male</t>
  </si>
  <si>
    <t>Other</t>
  </si>
  <si>
    <t>Unknown</t>
  </si>
  <si>
    <t>Column Labels</t>
  </si>
  <si>
    <t>For matrix</t>
  </si>
  <si>
    <t>Order Qty Analysis</t>
  </si>
  <si>
    <t>6-10</t>
  </si>
  <si>
    <t>More than 10</t>
  </si>
  <si>
    <t>Map Chart Qty</t>
  </si>
  <si>
    <t>Map Chart Amount</t>
  </si>
  <si>
    <t>Shipment Duration Analysis</t>
  </si>
  <si>
    <t>Customer Satisfaction Analysis</t>
  </si>
  <si>
    <t>Oca</t>
  </si>
  <si>
    <t>Şub</t>
  </si>
  <si>
    <t>Mar</t>
  </si>
  <si>
    <t>For Trend</t>
  </si>
  <si>
    <t>Products by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</si>
</sst>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
    <numFmt numFmtId="165" formatCode="0.0%"/>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3" tint="0.749992370372631"/>
        <bgColor indexed="64"/>
      </patternFill>
    </fill>
    <fill>
      <patternFill patternType="solid">
        <fgColor theme="4" tint="0.79998168889431442"/>
        <bgColor theme="4" tint="0.79998168889431442"/>
      </patternFill>
    </fill>
  </fills>
  <borders count="3">
    <border>
      <left/>
      <right/>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s>
  <cellStyleXfs count="1">
    <xf numFmtId="0" fontId="0" fillId="0" borderId="0"/>
  </cellStyleXfs>
  <cellXfs count="1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0" fontId="0" fillId="0" borderId="0" xfId="0" applyNumberFormat="1"/>
    <xf numFmtId="0" fontId="0" fillId="0" borderId="1" xfId="0" applyBorder="1"/>
    <xf numFmtId="165" fontId="0" fillId="0" borderId="1" xfId="0" applyNumberFormat="1" applyBorder="1"/>
    <xf numFmtId="0" fontId="1" fillId="0" borderId="0" xfId="0" applyFont="1"/>
    <xf numFmtId="0" fontId="1" fillId="4" borderId="2" xfId="0" applyFont="1" applyFill="1" applyBorder="1"/>
    <xf numFmtId="0" fontId="2" fillId="0" borderId="0" xfId="0" applyFont="1"/>
    <xf numFmtId="1"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166" formatCode="d\-mmm\-yy"/>
    </dxf>
    <dxf>
      <numFmt numFmtId="166" formatCode="d\-mmm\-yy"/>
    </dxf>
    <dxf>
      <numFmt numFmtId="164" formatCode="[$$-1009]#,##0"/>
    </dxf>
    <dxf>
      <fill>
        <patternFill patternType="solid">
          <bgColor theme="3" tint="0.749992370372631"/>
        </patternFill>
      </fill>
    </dxf>
    <dxf>
      <numFmt numFmtId="1" formatCode="0"/>
    </dxf>
    <dxf>
      <fill>
        <patternFill patternType="solid">
          <bgColor theme="3"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[ecommerce-project.xlsx]Sheet2!pvtTrend</c:name>
    <c:fmtId val="20"/>
  </c:pivotSource>
  <c:chart>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9203849518811"/>
          <c:y val="0.13786818314377369"/>
          <c:w val="0.60150131233595805"/>
          <c:h val="0.65890128317293672"/>
        </c:manualLayout>
      </c:layout>
      <c:lineChart>
        <c:grouping val="standard"/>
        <c:varyColors val="0"/>
        <c:ser>
          <c:idx val="0"/>
          <c:order val="0"/>
          <c:tx>
            <c:strRef>
              <c:f>Sheet2!$B$8</c:f>
              <c:strCache>
                <c:ptCount val="1"/>
                <c:pt idx="0">
                  <c:v>Sum of Quantity</c:v>
                </c:pt>
              </c:strCache>
            </c:strRef>
          </c:tx>
          <c:spPr>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strRef>
              <c:f>Sheet2!$A$9:$A$22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Sheet2!$B$9:$B$22</c:f>
              <c:numCache>
                <c:formatCode>General</c:formatCode>
                <c:ptCount val="13"/>
                <c:pt idx="0">
                  <c:v>253</c:v>
                </c:pt>
                <c:pt idx="1">
                  <c:v>289</c:v>
                </c:pt>
                <c:pt idx="2">
                  <c:v>310</c:v>
                </c:pt>
                <c:pt idx="3">
                  <c:v>308</c:v>
                </c:pt>
                <c:pt idx="4">
                  <c:v>248</c:v>
                </c:pt>
                <c:pt idx="5">
                  <c:v>372</c:v>
                </c:pt>
                <c:pt idx="6">
                  <c:v>316</c:v>
                </c:pt>
                <c:pt idx="7">
                  <c:v>584</c:v>
                </c:pt>
                <c:pt idx="8">
                  <c:v>407</c:v>
                </c:pt>
                <c:pt idx="9">
                  <c:v>452</c:v>
                </c:pt>
                <c:pt idx="10">
                  <c:v>350</c:v>
                </c:pt>
                <c:pt idx="11">
                  <c:v>455</c:v>
                </c:pt>
                <c:pt idx="12">
                  <c:v>328</c:v>
                </c:pt>
              </c:numCache>
            </c:numRef>
          </c:val>
          <c:smooth val="0"/>
          <c:extLst>
            <c:ext xmlns:c16="http://schemas.microsoft.com/office/drawing/2014/chart" uri="{C3380CC4-5D6E-409C-BE32-E72D297353CC}">
              <c16:uniqueId val="{00000000-2BB5-4835-ADB7-E3D43DC4A162}"/>
            </c:ext>
          </c:extLst>
        </c:ser>
        <c:dLbls>
          <c:showLegendKey val="0"/>
          <c:showVal val="0"/>
          <c:showCatName val="0"/>
          <c:showSerName val="0"/>
          <c:showPercent val="0"/>
          <c:showBubbleSize val="0"/>
        </c:dLbls>
        <c:marker val="1"/>
        <c:smooth val="0"/>
        <c:axId val="5974463"/>
        <c:axId val="5970143"/>
      </c:lineChart>
      <c:lineChart>
        <c:grouping val="standard"/>
        <c:varyColors val="0"/>
        <c:ser>
          <c:idx val="1"/>
          <c:order val="1"/>
          <c:tx>
            <c:strRef>
              <c:f>Sheet2!$C$8</c:f>
              <c:strCache>
                <c:ptCount val="1"/>
                <c:pt idx="0">
                  <c:v>Sum of Amount</c:v>
                </c:pt>
              </c:strCache>
            </c:strRef>
          </c:tx>
          <c:spPr>
            <a:ln w="28575" cap="rnd">
              <a:solidFill>
                <a:schemeClr val="accent5">
                  <a:lumMod val="40000"/>
                  <a:lumOff val="60000"/>
                </a:schemeClr>
              </a:solidFill>
              <a:round/>
            </a:ln>
            <a:effectLst/>
          </c:spPr>
          <c:marker>
            <c:symbol val="none"/>
          </c:marker>
          <c:cat>
            <c:strRef>
              <c:f>Sheet2!$A$9:$A$22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Sheet2!$C$9:$C$22</c:f>
              <c:numCache>
                <c:formatCode>[$$-1009]#,##0</c:formatCode>
                <c:ptCount val="13"/>
                <c:pt idx="0">
                  <c:v>16190.199999999997</c:v>
                </c:pt>
                <c:pt idx="1">
                  <c:v>13399.8</c:v>
                </c:pt>
                <c:pt idx="2">
                  <c:v>14642.199999999997</c:v>
                </c:pt>
                <c:pt idx="3">
                  <c:v>14970.900000000003</c:v>
                </c:pt>
                <c:pt idx="4">
                  <c:v>12546.6</c:v>
                </c:pt>
                <c:pt idx="5">
                  <c:v>19718.500000000007</c:v>
                </c:pt>
                <c:pt idx="6">
                  <c:v>15556.700000000003</c:v>
                </c:pt>
                <c:pt idx="7">
                  <c:v>29035.999999999993</c:v>
                </c:pt>
                <c:pt idx="8">
                  <c:v>16015.400000000003</c:v>
                </c:pt>
                <c:pt idx="9">
                  <c:v>23834.200000000004</c:v>
                </c:pt>
                <c:pt idx="10">
                  <c:v>18055.3</c:v>
                </c:pt>
                <c:pt idx="11">
                  <c:v>28060.400000000005</c:v>
                </c:pt>
                <c:pt idx="12">
                  <c:v>18869.5</c:v>
                </c:pt>
              </c:numCache>
            </c:numRef>
          </c:val>
          <c:smooth val="0"/>
          <c:extLst>
            <c:ext xmlns:c16="http://schemas.microsoft.com/office/drawing/2014/chart" uri="{C3380CC4-5D6E-409C-BE32-E72D297353CC}">
              <c16:uniqueId val="{00000001-2BB5-4835-ADB7-E3D43DC4A162}"/>
            </c:ext>
          </c:extLst>
        </c:ser>
        <c:dLbls>
          <c:showLegendKey val="0"/>
          <c:showVal val="0"/>
          <c:showCatName val="0"/>
          <c:showSerName val="0"/>
          <c:showPercent val="0"/>
          <c:showBubbleSize val="0"/>
        </c:dLbls>
        <c:marker val="1"/>
        <c:smooth val="0"/>
        <c:axId val="1395562703"/>
        <c:axId val="1395569423"/>
      </c:lineChart>
      <c:catAx>
        <c:axId val="597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143"/>
        <c:crosses val="autoZero"/>
        <c:auto val="1"/>
        <c:lblAlgn val="ctr"/>
        <c:lblOffset val="100"/>
        <c:noMultiLvlLbl val="0"/>
      </c:catAx>
      <c:valAx>
        <c:axId val="597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463"/>
        <c:crosses val="autoZero"/>
        <c:crossBetween val="between"/>
      </c:valAx>
      <c:valAx>
        <c:axId val="1395569423"/>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62703"/>
        <c:crosses val="max"/>
        <c:crossBetween val="between"/>
      </c:valAx>
      <c:catAx>
        <c:axId val="139556270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6942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[ecommerce-project.xlsx]Sheet2!pvtTrend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tr-TR" b="1"/>
              <a:t>Last</a:t>
            </a:r>
            <a:r>
              <a:rPr lang="tr-TR" b="1" baseline="0"/>
              <a:t> 13 Week Trends - Qty &amp; Amount</a:t>
            </a:r>
            <a:endParaRPr lang="en-US" b="1"/>
          </a:p>
        </c:rich>
      </c:tx>
      <c:layout>
        <c:manualLayout>
          <c:xMode val="edge"/>
          <c:yMode val="edge"/>
          <c:x val="0.19072824627837551"/>
          <c:y val="2.063820969747202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7267335857825"/>
          <c:y val="0.22428793623019347"/>
          <c:w val="0.60150131233595805"/>
          <c:h val="0.65890128317293672"/>
        </c:manualLayout>
      </c:layout>
      <c:lineChart>
        <c:grouping val="standard"/>
        <c:varyColors val="0"/>
        <c:ser>
          <c:idx val="0"/>
          <c:order val="0"/>
          <c:tx>
            <c:strRef>
              <c:f>Sheet2!$B$8</c:f>
              <c:strCache>
                <c:ptCount val="1"/>
                <c:pt idx="0">
                  <c:v>Sum of Quantity</c:v>
                </c:pt>
              </c:strCache>
            </c:strRef>
          </c:tx>
          <c:spPr>
            <a:ln w="28575" cap="rnd">
              <a:solidFill>
                <a:schemeClr val="tx2">
                  <a:lumMod val="75000"/>
                  <a:lumOff val="25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strRef>
              <c:f>Sheet2!$A$9:$A$22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Sheet2!$B$9:$B$22</c:f>
              <c:numCache>
                <c:formatCode>General</c:formatCode>
                <c:ptCount val="13"/>
                <c:pt idx="0">
                  <c:v>253</c:v>
                </c:pt>
                <c:pt idx="1">
                  <c:v>289</c:v>
                </c:pt>
                <c:pt idx="2">
                  <c:v>310</c:v>
                </c:pt>
                <c:pt idx="3">
                  <c:v>308</c:v>
                </c:pt>
                <c:pt idx="4">
                  <c:v>248</c:v>
                </c:pt>
                <c:pt idx="5">
                  <c:v>372</c:v>
                </c:pt>
                <c:pt idx="6">
                  <c:v>316</c:v>
                </c:pt>
                <c:pt idx="7">
                  <c:v>584</c:v>
                </c:pt>
                <c:pt idx="8">
                  <c:v>407</c:v>
                </c:pt>
                <c:pt idx="9">
                  <c:v>452</c:v>
                </c:pt>
                <c:pt idx="10">
                  <c:v>350</c:v>
                </c:pt>
                <c:pt idx="11">
                  <c:v>455</c:v>
                </c:pt>
                <c:pt idx="12">
                  <c:v>328</c:v>
                </c:pt>
              </c:numCache>
            </c:numRef>
          </c:val>
          <c:smooth val="0"/>
          <c:extLst>
            <c:ext xmlns:c16="http://schemas.microsoft.com/office/drawing/2014/chart" uri="{C3380CC4-5D6E-409C-BE32-E72D297353CC}">
              <c16:uniqueId val="{00000000-E5E7-41B4-BAC4-CF07D1015DAF}"/>
            </c:ext>
          </c:extLst>
        </c:ser>
        <c:dLbls>
          <c:showLegendKey val="0"/>
          <c:showVal val="0"/>
          <c:showCatName val="0"/>
          <c:showSerName val="0"/>
          <c:showPercent val="0"/>
          <c:showBubbleSize val="0"/>
        </c:dLbls>
        <c:marker val="1"/>
        <c:smooth val="0"/>
        <c:axId val="5974463"/>
        <c:axId val="5970143"/>
      </c:lineChart>
      <c:lineChart>
        <c:grouping val="standard"/>
        <c:varyColors val="0"/>
        <c:ser>
          <c:idx val="1"/>
          <c:order val="1"/>
          <c:tx>
            <c:strRef>
              <c:f>Sheet2!$C$8</c:f>
              <c:strCache>
                <c:ptCount val="1"/>
                <c:pt idx="0">
                  <c:v>Sum of Amount</c:v>
                </c:pt>
              </c:strCache>
            </c:strRef>
          </c:tx>
          <c:spPr>
            <a:ln w="28575" cap="rnd">
              <a:solidFill>
                <a:schemeClr val="accent5">
                  <a:lumMod val="40000"/>
                  <a:lumOff val="60000"/>
                </a:schemeClr>
              </a:solidFill>
              <a:round/>
            </a:ln>
            <a:effectLst/>
          </c:spPr>
          <c:marker>
            <c:symbol val="none"/>
          </c:marker>
          <c:cat>
            <c:strRef>
              <c:f>Sheet2!$A$9:$A$22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Sheet2!$C$9:$C$22</c:f>
              <c:numCache>
                <c:formatCode>[$$-1009]#,##0</c:formatCode>
                <c:ptCount val="13"/>
                <c:pt idx="0">
                  <c:v>16190.199999999997</c:v>
                </c:pt>
                <c:pt idx="1">
                  <c:v>13399.8</c:v>
                </c:pt>
                <c:pt idx="2">
                  <c:v>14642.199999999997</c:v>
                </c:pt>
                <c:pt idx="3">
                  <c:v>14970.900000000003</c:v>
                </c:pt>
                <c:pt idx="4">
                  <c:v>12546.6</c:v>
                </c:pt>
                <c:pt idx="5">
                  <c:v>19718.500000000007</c:v>
                </c:pt>
                <c:pt idx="6">
                  <c:v>15556.700000000003</c:v>
                </c:pt>
                <c:pt idx="7">
                  <c:v>29035.999999999993</c:v>
                </c:pt>
                <c:pt idx="8">
                  <c:v>16015.400000000003</c:v>
                </c:pt>
                <c:pt idx="9">
                  <c:v>23834.200000000004</c:v>
                </c:pt>
                <c:pt idx="10">
                  <c:v>18055.3</c:v>
                </c:pt>
                <c:pt idx="11">
                  <c:v>28060.400000000005</c:v>
                </c:pt>
                <c:pt idx="12">
                  <c:v>18869.5</c:v>
                </c:pt>
              </c:numCache>
            </c:numRef>
          </c:val>
          <c:smooth val="0"/>
          <c:extLst>
            <c:ext xmlns:c16="http://schemas.microsoft.com/office/drawing/2014/chart" uri="{C3380CC4-5D6E-409C-BE32-E72D297353CC}">
              <c16:uniqueId val="{00000001-E5E7-41B4-BAC4-CF07D1015DAF}"/>
            </c:ext>
          </c:extLst>
        </c:ser>
        <c:dLbls>
          <c:showLegendKey val="0"/>
          <c:showVal val="0"/>
          <c:showCatName val="0"/>
          <c:showSerName val="0"/>
          <c:showPercent val="0"/>
          <c:showBubbleSize val="0"/>
        </c:dLbls>
        <c:marker val="1"/>
        <c:smooth val="0"/>
        <c:axId val="1395562703"/>
        <c:axId val="1395569423"/>
      </c:lineChart>
      <c:catAx>
        <c:axId val="597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143"/>
        <c:crosses val="autoZero"/>
        <c:auto val="1"/>
        <c:lblAlgn val="ctr"/>
        <c:lblOffset val="100"/>
        <c:noMultiLvlLbl val="0"/>
      </c:catAx>
      <c:valAx>
        <c:axId val="597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463"/>
        <c:crosses val="autoZero"/>
        <c:crossBetween val="between"/>
      </c:valAx>
      <c:valAx>
        <c:axId val="1395569423"/>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62703"/>
        <c:crosses val="max"/>
        <c:crossBetween val="between"/>
      </c:valAx>
      <c:catAx>
        <c:axId val="139556270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6942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[ecommerce-project.xlsx]Sheet4!pvtQty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How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1">
                <a:shade val="15000"/>
              </a:schemeClr>
            </a:solidFill>
          </a:ln>
          <a:effectLst>
            <a:outerShdw blurRad="50800" dist="38100" dir="2700000" algn="tl" rotWithShape="0">
              <a:prstClr val="black">
                <a:alpha val="40000"/>
              </a:prstClr>
            </a:outerShdw>
          </a:effectLst>
        </c:spPr>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solidFill>
                  <a:schemeClr val="accent1">
                    <a:shade val="1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5C8-4394-A163-5ABB0C58E9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1</c:v>
                </c:pt>
                <c:pt idx="1">
                  <c:v>2</c:v>
                </c:pt>
                <c:pt idx="2">
                  <c:v>3</c:v>
                </c:pt>
                <c:pt idx="3">
                  <c:v>4</c:v>
                </c:pt>
                <c:pt idx="4">
                  <c:v>5</c:v>
                </c:pt>
                <c:pt idx="5">
                  <c:v>6-10</c:v>
                </c:pt>
                <c:pt idx="6">
                  <c:v>More than 10</c:v>
                </c:pt>
              </c:strCache>
            </c:strRef>
          </c:cat>
          <c:val>
            <c:numRef>
              <c:f>Sheet4!$B$4:$B$11</c:f>
              <c:numCache>
                <c:formatCode>General</c:formatCode>
                <c:ptCount val="7"/>
                <c:pt idx="0">
                  <c:v>159</c:v>
                </c:pt>
                <c:pt idx="1">
                  <c:v>235</c:v>
                </c:pt>
                <c:pt idx="2">
                  <c:v>145</c:v>
                </c:pt>
                <c:pt idx="3">
                  <c:v>99</c:v>
                </c:pt>
                <c:pt idx="4">
                  <c:v>76</c:v>
                </c:pt>
                <c:pt idx="5">
                  <c:v>151</c:v>
                </c:pt>
                <c:pt idx="6">
                  <c:v>94</c:v>
                </c:pt>
              </c:numCache>
            </c:numRef>
          </c:val>
          <c:extLst>
            <c:ext xmlns:c16="http://schemas.microsoft.com/office/drawing/2014/chart" uri="{C3380CC4-5D6E-409C-BE32-E72D297353CC}">
              <c16:uniqueId val="{00000000-55C8-4394-A163-5ABB0C58E928}"/>
            </c:ext>
          </c:extLst>
        </c:ser>
        <c:dLbls>
          <c:showLegendKey val="0"/>
          <c:showVal val="0"/>
          <c:showCatName val="0"/>
          <c:showSerName val="0"/>
          <c:showPercent val="0"/>
          <c:showBubbleSize val="0"/>
        </c:dLbls>
        <c:gapWidth val="0"/>
        <c:overlap val="-27"/>
        <c:axId val="1522030479"/>
        <c:axId val="1522031439"/>
      </c:barChart>
      <c:catAx>
        <c:axId val="15220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31439"/>
        <c:crosses val="autoZero"/>
        <c:auto val="1"/>
        <c:lblAlgn val="ctr"/>
        <c:lblOffset val="100"/>
        <c:noMultiLvlLbl val="0"/>
      </c:catAx>
      <c:valAx>
        <c:axId val="152203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3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[ecommerce-project.xlsx]Sheet5!pvtProduct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Which Product are Popular?</a:t>
            </a:r>
            <a:r>
              <a:rPr lang="tr-TR" baseline="0"/>
              <a:t> Breakdown by Gender</a:t>
            </a:r>
            <a:endParaRPr lang="en-US"/>
          </a:p>
        </c:rich>
      </c:tx>
      <c:layout>
        <c:manualLayout>
          <c:xMode val="edge"/>
          <c:yMode val="edge"/>
          <c:x val="7.495936057914758E-2"/>
          <c:y val="1.8759055118110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06056399736303E-2"/>
          <c:y val="0.11271462384714186"/>
          <c:w val="0.63040112981566954"/>
          <c:h val="0.86994858578532952"/>
        </c:manualLayout>
      </c:layout>
      <c:barChart>
        <c:barDir val="bar"/>
        <c:grouping val="stacked"/>
        <c:varyColors val="0"/>
        <c:ser>
          <c:idx val="0"/>
          <c:order val="0"/>
          <c:tx>
            <c:strRef>
              <c:f>Sheet5!$B$3:$B$4</c:f>
              <c:strCache>
                <c:ptCount val="1"/>
                <c:pt idx="0">
                  <c:v>Male</c:v>
                </c:pt>
              </c:strCache>
            </c:strRef>
          </c:tx>
          <c:spPr>
            <a:solidFill>
              <a:schemeClr val="accent1"/>
            </a:solidFill>
            <a:ln>
              <a:noFill/>
            </a:ln>
            <a:effectLst/>
          </c:spPr>
          <c:invertIfNegative val="0"/>
          <c:cat>
            <c:strRef>
              <c:f>Sheet5!$A$5:$A$25</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Sheet5!$B$5:$B$25</c:f>
              <c:numCache>
                <c:formatCode>General</c:formatCode>
                <c:ptCount val="20"/>
                <c:pt idx="0">
                  <c:v>713</c:v>
                </c:pt>
                <c:pt idx="1">
                  <c:v>598</c:v>
                </c:pt>
                <c:pt idx="2">
                  <c:v>393</c:v>
                </c:pt>
                <c:pt idx="3">
                  <c:v>318</c:v>
                </c:pt>
                <c:pt idx="4">
                  <c:v>306</c:v>
                </c:pt>
                <c:pt idx="5">
                  <c:v>295</c:v>
                </c:pt>
                <c:pt idx="6">
                  <c:v>293</c:v>
                </c:pt>
                <c:pt idx="7">
                  <c:v>275</c:v>
                </c:pt>
                <c:pt idx="8">
                  <c:v>246</c:v>
                </c:pt>
                <c:pt idx="9">
                  <c:v>202</c:v>
                </c:pt>
                <c:pt idx="10">
                  <c:v>187</c:v>
                </c:pt>
                <c:pt idx="11">
                  <c:v>168</c:v>
                </c:pt>
                <c:pt idx="12">
                  <c:v>118</c:v>
                </c:pt>
                <c:pt idx="13">
                  <c:v>103</c:v>
                </c:pt>
                <c:pt idx="14">
                  <c:v>94</c:v>
                </c:pt>
                <c:pt idx="15">
                  <c:v>93</c:v>
                </c:pt>
                <c:pt idx="16">
                  <c:v>90</c:v>
                </c:pt>
                <c:pt idx="17">
                  <c:v>76</c:v>
                </c:pt>
                <c:pt idx="18">
                  <c:v>69</c:v>
                </c:pt>
                <c:pt idx="19">
                  <c:v>35</c:v>
                </c:pt>
              </c:numCache>
            </c:numRef>
          </c:val>
          <c:extLst>
            <c:ext xmlns:c16="http://schemas.microsoft.com/office/drawing/2014/chart" uri="{C3380CC4-5D6E-409C-BE32-E72D297353CC}">
              <c16:uniqueId val="{00000000-5D01-453F-AE8E-A99101569CFF}"/>
            </c:ext>
          </c:extLst>
        </c:ser>
        <c:dLbls>
          <c:showLegendKey val="0"/>
          <c:showVal val="0"/>
          <c:showCatName val="0"/>
          <c:showSerName val="0"/>
          <c:showPercent val="0"/>
          <c:showBubbleSize val="0"/>
        </c:dLbls>
        <c:gapWidth val="150"/>
        <c:overlap val="100"/>
        <c:axId val="1522048239"/>
        <c:axId val="1522053519"/>
      </c:barChart>
      <c:catAx>
        <c:axId val="152204823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53519"/>
        <c:crosses val="autoZero"/>
        <c:auto val="1"/>
        <c:lblAlgn val="ctr"/>
        <c:lblOffset val="100"/>
        <c:noMultiLvlLbl val="0"/>
      </c:catAx>
      <c:valAx>
        <c:axId val="15220535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3175">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48239"/>
        <c:crosses val="autoZero"/>
        <c:crossBetween val="between"/>
      </c:valAx>
      <c:spPr>
        <a:noFill/>
        <a:ln w="6350">
          <a:solidFill>
            <a:schemeClr val="accent1">
              <a:shade val="15000"/>
            </a:schemeClr>
          </a:solidFill>
        </a:ln>
        <a:effectLst/>
      </c:spPr>
    </c:plotArea>
    <c:legend>
      <c:legendPos val="r"/>
      <c:layout>
        <c:manualLayout>
          <c:xMode val="edge"/>
          <c:yMode val="edge"/>
          <c:x val="0.85015170685567576"/>
          <c:y val="0.55678593175853019"/>
          <c:w val="0.12904746111104287"/>
          <c:h val="0.18412567496166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[ecommerce-project.xlsx]Sheet5!pvtGender</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12700">
              <a:schemeClr val="accent1">
                <a:alpha val="40000"/>
              </a:schemeClr>
            </a:glow>
          </a:effectLst>
        </c:spPr>
        <c:dLbl>
          <c:idx val="0"/>
          <c:layout>
            <c:manualLayout>
              <c:x val="7.2035348651593986E-2"/>
              <c:y val="-0.21056745213121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12700">
              <a:schemeClr val="accent1">
                <a:alpha val="40000"/>
              </a:schemeClr>
            </a:glow>
          </a:effectLst>
        </c:spPr>
        <c:dLbl>
          <c:idx val="0"/>
          <c:layout>
            <c:manualLayout>
              <c:x val="-7.248161962210864E-2"/>
              <c:y val="7.3800738007379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glow rad="12700">
              <a:schemeClr val="accent1">
                <a:alpha val="40000"/>
              </a:schemeClr>
            </a:glow>
          </a:effectLst>
        </c:spPr>
        <c:dLbl>
          <c:idx val="0"/>
          <c:layout>
            <c:manualLayout>
              <c:x val="-0.13469448153928792"/>
              <c:y val="-0.10053343043443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glow rad="12700">
              <a:schemeClr val="accent1">
                <a:alpha val="40000"/>
              </a:schemeClr>
            </a:glow>
          </a:effectLst>
        </c:spPr>
        <c:dLbl>
          <c:idx val="0"/>
          <c:layout>
            <c:manualLayout>
              <c:x val="-2.5375361853850215E-2"/>
              <c:y val="-0.145579262979005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layout>
                <c:manualLayout>
                  <c:w val="0.27084429774445751"/>
                  <c:h val="0.19804496431909727"/>
                </c:manualLayout>
              </c15:layout>
            </c:ext>
          </c:extLst>
        </c:dLbl>
      </c:pivotFmt>
    </c:pivotFmts>
    <c:plotArea>
      <c:layout/>
      <c:doughnutChart>
        <c:varyColors val="1"/>
        <c:ser>
          <c:idx val="0"/>
          <c:order val="0"/>
          <c:tx>
            <c:strRef>
              <c:f>Sheet5!$B$30</c:f>
              <c:strCache>
                <c:ptCount val="1"/>
                <c:pt idx="0">
                  <c:v>Total</c:v>
                </c:pt>
              </c:strCache>
            </c:strRef>
          </c:tx>
          <c:spPr>
            <a:effectLst>
              <a:glow rad="12700">
                <a:schemeClr val="accent1">
                  <a:alpha val="40000"/>
                </a:schemeClr>
              </a:glow>
            </a:effectLst>
          </c:spPr>
          <c:dPt>
            <c:idx val="0"/>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1-1179-4006-9D3F-15ED55BD475E}"/>
              </c:ext>
            </c:extLst>
          </c:dPt>
          <c:dPt>
            <c:idx val="1"/>
            <c:bubble3D val="0"/>
            <c:spPr>
              <a:solidFill>
                <a:schemeClr val="accent2"/>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1179-4006-9D3F-15ED55BD475E}"/>
              </c:ext>
            </c:extLst>
          </c:dPt>
          <c:dPt>
            <c:idx val="2"/>
            <c:bubble3D val="0"/>
            <c:spPr>
              <a:solidFill>
                <a:schemeClr val="accent3"/>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5-1179-4006-9D3F-15ED55BD475E}"/>
              </c:ext>
            </c:extLst>
          </c:dPt>
          <c:dPt>
            <c:idx val="3"/>
            <c:bubble3D val="0"/>
            <c:spPr>
              <a:solidFill>
                <a:schemeClr val="accent4"/>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7-1179-4006-9D3F-15ED55BD475E}"/>
              </c:ext>
            </c:extLst>
          </c:dPt>
          <c:dLbls>
            <c:dLbl>
              <c:idx val="0"/>
              <c:layout>
                <c:manualLayout>
                  <c:x val="7.2035348651593986E-2"/>
                  <c:y val="-0.2105674521312142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79-4006-9D3F-15ED55BD475E}"/>
                </c:ext>
              </c:extLst>
            </c:dLbl>
            <c:dLbl>
              <c:idx val="1"/>
              <c:layout>
                <c:manualLayout>
                  <c:x val="-7.248161962210864E-2"/>
                  <c:y val="7.3800738007379962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79-4006-9D3F-15ED55BD475E}"/>
                </c:ext>
              </c:extLst>
            </c:dLbl>
            <c:dLbl>
              <c:idx val="2"/>
              <c:layout>
                <c:manualLayout>
                  <c:x val="-0.13469448153928792"/>
                  <c:y val="-0.10053343043443987"/>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79-4006-9D3F-15ED55BD475E}"/>
                </c:ext>
              </c:extLst>
            </c:dLbl>
            <c:dLbl>
              <c:idx val="3"/>
              <c:layout>
                <c:manualLayout>
                  <c:x val="-2.5375361853850215E-2"/>
                  <c:y val="-0.145579262979005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layout>
                    <c:manualLayout>
                      <c:w val="0.27084429774445751"/>
                      <c:h val="0.19804496431909727"/>
                    </c:manualLayout>
                  </c15:layout>
                </c:ext>
                <c:ext xmlns:c16="http://schemas.microsoft.com/office/drawing/2014/chart" uri="{C3380CC4-5D6E-409C-BE32-E72D297353CC}">
                  <c16:uniqueId val="{00000007-1179-4006-9D3F-15ED55BD47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Sheet5!$A$31:$A$35</c:f>
              <c:strCache>
                <c:ptCount val="4"/>
                <c:pt idx="0">
                  <c:v>Female</c:v>
                </c:pt>
                <c:pt idx="1">
                  <c:v>Male</c:v>
                </c:pt>
                <c:pt idx="2">
                  <c:v>Other</c:v>
                </c:pt>
                <c:pt idx="3">
                  <c:v>Unknown</c:v>
                </c:pt>
              </c:strCache>
            </c:strRef>
          </c:cat>
          <c:val>
            <c:numRef>
              <c:f>Sheet5!$B$31:$B$35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179-4006-9D3F-15ED55BD475E}"/>
            </c:ext>
          </c:extLst>
        </c:ser>
        <c:dLbls>
          <c:showLegendKey val="0"/>
          <c:showVal val="0"/>
          <c:showCatName val="0"/>
          <c:showSerName val="0"/>
          <c:showPercent val="0"/>
          <c:showBubbleSize val="0"/>
          <c:showLeaderLines val="1"/>
        </c:dLbls>
        <c:firstSliceAng val="0"/>
        <c:holeSize val="75"/>
      </c:doughnutChart>
      <c:spPr>
        <a:noFill/>
        <a:ln>
          <a:noFill/>
        </a:ln>
        <a:effectLst>
          <a:glow rad="76200">
            <a:schemeClr val="accent1">
              <a:alpha val="40000"/>
            </a:schemeClr>
          </a:glow>
          <a:outerShdw blurRad="50800" dist="50800" dir="5400000" algn="ctr" rotWithShape="0">
            <a:schemeClr val="bg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[ecommerce-project.xlsx]Sheet6!pvtDuration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How long we take the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a:glow rad="50800">
              <a:schemeClr val="accent1">
                <a:alpha val="40000"/>
              </a:schemeClr>
            </a:glow>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solidFill>
                <a:schemeClr val="bg1"/>
              </a:solidFill>
            </a:ln>
            <a:effectLst/>
          </c:spPr>
          <c:invertIfNegative val="0"/>
          <c:dPt>
            <c:idx val="1"/>
            <c:invertIfNegative val="0"/>
            <c:bubble3D val="0"/>
            <c:spPr>
              <a:solidFill>
                <a:schemeClr val="accent1"/>
              </a:solidFill>
              <a:ln>
                <a:solidFill>
                  <a:schemeClr val="bg1"/>
                </a:solidFill>
              </a:ln>
              <a:effectLst>
                <a:glow rad="50800">
                  <a:schemeClr val="accent1">
                    <a:alpha val="40000"/>
                  </a:schemeClr>
                </a:glow>
              </a:effectLst>
            </c:spPr>
            <c:extLst>
              <c:ext xmlns:c16="http://schemas.microsoft.com/office/drawing/2014/chart" uri="{C3380CC4-5D6E-409C-BE32-E72D297353CC}">
                <c16:uniqueId val="{00000001-7499-4C83-9FB0-EE13AB2A5C11}"/>
              </c:ext>
            </c:extLst>
          </c:dPt>
          <c:cat>
            <c:strRef>
              <c:f>Sheet6!$A$4:$A$18</c:f>
              <c:strCach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14</c:v>
                </c:pt>
              </c:strCache>
            </c:strRef>
          </c:cat>
          <c:val>
            <c:numRef>
              <c:f>Sheet6!$B$4:$B$18</c:f>
              <c:numCache>
                <c:formatCode>General</c:formatCode>
                <c:ptCount val="14"/>
                <c:pt idx="0">
                  <c:v>68</c:v>
                </c:pt>
                <c:pt idx="1">
                  <c:v>388</c:v>
                </c:pt>
                <c:pt idx="2">
                  <c:v>189</c:v>
                </c:pt>
                <c:pt idx="3">
                  <c:v>140</c:v>
                </c:pt>
                <c:pt idx="4">
                  <c:v>79</c:v>
                </c:pt>
                <c:pt idx="5">
                  <c:v>33</c:v>
                </c:pt>
                <c:pt idx="6">
                  <c:v>23</c:v>
                </c:pt>
                <c:pt idx="7">
                  <c:v>14</c:v>
                </c:pt>
                <c:pt idx="8">
                  <c:v>5</c:v>
                </c:pt>
                <c:pt idx="9">
                  <c:v>3</c:v>
                </c:pt>
                <c:pt idx="10">
                  <c:v>6</c:v>
                </c:pt>
                <c:pt idx="11">
                  <c:v>5</c:v>
                </c:pt>
                <c:pt idx="12">
                  <c:v>1</c:v>
                </c:pt>
                <c:pt idx="13">
                  <c:v>5</c:v>
                </c:pt>
              </c:numCache>
            </c:numRef>
          </c:val>
          <c:extLst>
            <c:ext xmlns:c16="http://schemas.microsoft.com/office/drawing/2014/chart" uri="{C3380CC4-5D6E-409C-BE32-E72D297353CC}">
              <c16:uniqueId val="{00000000-7499-4C83-9FB0-EE13AB2A5C11}"/>
            </c:ext>
          </c:extLst>
        </c:ser>
        <c:dLbls>
          <c:showLegendKey val="0"/>
          <c:showVal val="0"/>
          <c:showCatName val="0"/>
          <c:showSerName val="0"/>
          <c:showPercent val="0"/>
          <c:showBubbleSize val="0"/>
        </c:dLbls>
        <c:gapWidth val="0"/>
        <c:overlap val="-27"/>
        <c:axId val="1323684927"/>
        <c:axId val="1323687807"/>
      </c:barChart>
      <c:catAx>
        <c:axId val="13236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87807"/>
        <c:crosses val="autoZero"/>
        <c:auto val="1"/>
        <c:lblAlgn val="ctr"/>
        <c:lblOffset val="100"/>
        <c:noMultiLvlLbl val="0"/>
      </c:catAx>
      <c:valAx>
        <c:axId val="132368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84927"/>
        <c:crosses val="autoZero"/>
        <c:crossBetween val="between"/>
      </c:valAx>
      <c:spPr>
        <a:noFill/>
        <a:ln w="15875">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[ecommerce-project.xlsx]Sheet6!pvtRating</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How</a:t>
            </a:r>
            <a:r>
              <a:rPr lang="tr-TR" b="1" baseline="0"/>
              <a:t> satisfied are our customers?</a:t>
            </a:r>
            <a:endParaRPr lang="en-US" b="1"/>
          </a:p>
        </c:rich>
      </c:tx>
      <c:layout>
        <c:manualLayout>
          <c:xMode val="edge"/>
          <c:yMode val="edge"/>
          <c:x val="0.20372200263504611"/>
          <c:y val="1.182165843532117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8662765968484"/>
          <c:y val="0.13736350217162888"/>
          <c:w val="0.75900713744773995"/>
          <c:h val="0.76214729641776957"/>
        </c:manualLayout>
      </c:layout>
      <c:barChart>
        <c:barDir val="col"/>
        <c:grouping val="clustered"/>
        <c:varyColors val="0"/>
        <c:ser>
          <c:idx val="0"/>
          <c:order val="0"/>
          <c:tx>
            <c:strRef>
              <c:f>Sheet6!$B$25:$B$26</c:f>
              <c:strCache>
                <c:ptCount val="1"/>
                <c:pt idx="0">
                  <c:v>1</c:v>
                </c:pt>
              </c:strCache>
            </c:strRef>
          </c:tx>
          <c:spPr>
            <a:solidFill>
              <a:schemeClr val="accent1"/>
            </a:solidFill>
            <a:ln>
              <a:noFill/>
            </a:ln>
            <a:effectLst/>
          </c:spPr>
          <c:invertIfNegative val="0"/>
          <c:cat>
            <c:strRef>
              <c:f>Sheet6!$A$27:$A$30</c:f>
              <c:strCache>
                <c:ptCount val="3"/>
                <c:pt idx="0">
                  <c:v>Oca</c:v>
                </c:pt>
                <c:pt idx="1">
                  <c:v>Şub</c:v>
                </c:pt>
                <c:pt idx="2">
                  <c:v>Mar</c:v>
                </c:pt>
              </c:strCache>
            </c:strRef>
          </c:cat>
          <c:val>
            <c:numRef>
              <c:f>Sheet6!$B$27:$B$30</c:f>
              <c:numCache>
                <c:formatCode>General</c:formatCode>
                <c:ptCount val="3"/>
                <c:pt idx="0">
                  <c:v>1</c:v>
                </c:pt>
                <c:pt idx="1">
                  <c:v>1</c:v>
                </c:pt>
                <c:pt idx="2">
                  <c:v>2</c:v>
                </c:pt>
              </c:numCache>
            </c:numRef>
          </c:val>
          <c:extLst>
            <c:ext xmlns:c16="http://schemas.microsoft.com/office/drawing/2014/chart" uri="{C3380CC4-5D6E-409C-BE32-E72D297353CC}">
              <c16:uniqueId val="{00000000-2E74-4E59-85D4-762B7351B400}"/>
            </c:ext>
          </c:extLst>
        </c:ser>
        <c:ser>
          <c:idx val="1"/>
          <c:order val="1"/>
          <c:tx>
            <c:strRef>
              <c:f>Sheet6!$C$25:$C$26</c:f>
              <c:strCache>
                <c:ptCount val="1"/>
                <c:pt idx="0">
                  <c:v>2</c:v>
                </c:pt>
              </c:strCache>
            </c:strRef>
          </c:tx>
          <c:spPr>
            <a:solidFill>
              <a:schemeClr val="accent2"/>
            </a:solidFill>
            <a:ln>
              <a:noFill/>
            </a:ln>
            <a:effectLst/>
          </c:spPr>
          <c:invertIfNegative val="0"/>
          <c:cat>
            <c:strRef>
              <c:f>Sheet6!$A$27:$A$30</c:f>
              <c:strCache>
                <c:ptCount val="3"/>
                <c:pt idx="0">
                  <c:v>Oca</c:v>
                </c:pt>
                <c:pt idx="1">
                  <c:v>Şub</c:v>
                </c:pt>
                <c:pt idx="2">
                  <c:v>Mar</c:v>
                </c:pt>
              </c:strCache>
            </c:strRef>
          </c:cat>
          <c:val>
            <c:numRef>
              <c:f>Sheet6!$C$27:$C$30</c:f>
              <c:numCache>
                <c:formatCode>General</c:formatCode>
                <c:ptCount val="3"/>
                <c:pt idx="0">
                  <c:v>19</c:v>
                </c:pt>
                <c:pt idx="1">
                  <c:v>21</c:v>
                </c:pt>
                <c:pt idx="2">
                  <c:v>15</c:v>
                </c:pt>
              </c:numCache>
            </c:numRef>
          </c:val>
          <c:extLst>
            <c:ext xmlns:c16="http://schemas.microsoft.com/office/drawing/2014/chart" uri="{C3380CC4-5D6E-409C-BE32-E72D297353CC}">
              <c16:uniqueId val="{00000001-2E74-4E59-85D4-762B7351B400}"/>
            </c:ext>
          </c:extLst>
        </c:ser>
        <c:ser>
          <c:idx val="2"/>
          <c:order val="2"/>
          <c:tx>
            <c:strRef>
              <c:f>Sheet6!$D$25:$D$26</c:f>
              <c:strCache>
                <c:ptCount val="1"/>
                <c:pt idx="0">
                  <c:v>3</c:v>
                </c:pt>
              </c:strCache>
            </c:strRef>
          </c:tx>
          <c:spPr>
            <a:solidFill>
              <a:schemeClr val="accent3"/>
            </a:solidFill>
            <a:ln>
              <a:noFill/>
            </a:ln>
            <a:effectLst/>
          </c:spPr>
          <c:invertIfNegative val="0"/>
          <c:cat>
            <c:strRef>
              <c:f>Sheet6!$A$27:$A$30</c:f>
              <c:strCache>
                <c:ptCount val="3"/>
                <c:pt idx="0">
                  <c:v>Oca</c:v>
                </c:pt>
                <c:pt idx="1">
                  <c:v>Şub</c:v>
                </c:pt>
                <c:pt idx="2">
                  <c:v>Mar</c:v>
                </c:pt>
              </c:strCache>
            </c:strRef>
          </c:cat>
          <c:val>
            <c:numRef>
              <c:f>Sheet6!$D$27:$D$30</c:f>
              <c:numCache>
                <c:formatCode>General</c:formatCode>
                <c:ptCount val="3"/>
                <c:pt idx="0">
                  <c:v>51</c:v>
                </c:pt>
                <c:pt idx="1">
                  <c:v>66</c:v>
                </c:pt>
                <c:pt idx="2">
                  <c:v>73</c:v>
                </c:pt>
              </c:numCache>
            </c:numRef>
          </c:val>
          <c:extLst>
            <c:ext xmlns:c16="http://schemas.microsoft.com/office/drawing/2014/chart" uri="{C3380CC4-5D6E-409C-BE32-E72D297353CC}">
              <c16:uniqueId val="{00000002-2E74-4E59-85D4-762B7351B400}"/>
            </c:ext>
          </c:extLst>
        </c:ser>
        <c:ser>
          <c:idx val="3"/>
          <c:order val="3"/>
          <c:tx>
            <c:strRef>
              <c:f>Sheet6!$E$25:$E$26</c:f>
              <c:strCache>
                <c:ptCount val="1"/>
                <c:pt idx="0">
                  <c:v>4</c:v>
                </c:pt>
              </c:strCache>
            </c:strRef>
          </c:tx>
          <c:spPr>
            <a:solidFill>
              <a:schemeClr val="accent4"/>
            </a:solidFill>
            <a:ln>
              <a:noFill/>
            </a:ln>
            <a:effectLst/>
          </c:spPr>
          <c:invertIfNegative val="0"/>
          <c:cat>
            <c:strRef>
              <c:f>Sheet6!$A$27:$A$30</c:f>
              <c:strCache>
                <c:ptCount val="3"/>
                <c:pt idx="0">
                  <c:v>Oca</c:v>
                </c:pt>
                <c:pt idx="1">
                  <c:v>Şub</c:v>
                </c:pt>
                <c:pt idx="2">
                  <c:v>Mar</c:v>
                </c:pt>
              </c:strCache>
            </c:strRef>
          </c:cat>
          <c:val>
            <c:numRef>
              <c:f>Sheet6!$E$27:$E$30</c:f>
              <c:numCache>
                <c:formatCode>General</c:formatCode>
                <c:ptCount val="3"/>
                <c:pt idx="0">
                  <c:v>118</c:v>
                </c:pt>
                <c:pt idx="1">
                  <c:v>142</c:v>
                </c:pt>
                <c:pt idx="2">
                  <c:v>153</c:v>
                </c:pt>
              </c:numCache>
            </c:numRef>
          </c:val>
          <c:extLst>
            <c:ext xmlns:c16="http://schemas.microsoft.com/office/drawing/2014/chart" uri="{C3380CC4-5D6E-409C-BE32-E72D297353CC}">
              <c16:uniqueId val="{00000010-90AC-45F2-8A2B-EDCF3EE72A7D}"/>
            </c:ext>
          </c:extLst>
        </c:ser>
        <c:ser>
          <c:idx val="4"/>
          <c:order val="4"/>
          <c:tx>
            <c:strRef>
              <c:f>Sheet6!$F$25:$F$26</c:f>
              <c:strCache>
                <c:ptCount val="1"/>
                <c:pt idx="0">
                  <c:v>5</c:v>
                </c:pt>
              </c:strCache>
            </c:strRef>
          </c:tx>
          <c:spPr>
            <a:solidFill>
              <a:schemeClr val="accent5"/>
            </a:solidFill>
            <a:ln>
              <a:noFill/>
            </a:ln>
            <a:effectLst/>
          </c:spPr>
          <c:invertIfNegative val="0"/>
          <c:cat>
            <c:strRef>
              <c:f>Sheet6!$A$27:$A$30</c:f>
              <c:strCache>
                <c:ptCount val="3"/>
                <c:pt idx="0">
                  <c:v>Oca</c:v>
                </c:pt>
                <c:pt idx="1">
                  <c:v>Şub</c:v>
                </c:pt>
                <c:pt idx="2">
                  <c:v>Mar</c:v>
                </c:pt>
              </c:strCache>
            </c:strRef>
          </c:cat>
          <c:val>
            <c:numRef>
              <c:f>Sheet6!$F$27:$F$30</c:f>
              <c:numCache>
                <c:formatCode>General</c:formatCode>
                <c:ptCount val="3"/>
                <c:pt idx="0">
                  <c:v>89</c:v>
                </c:pt>
                <c:pt idx="1">
                  <c:v>102</c:v>
                </c:pt>
                <c:pt idx="2">
                  <c:v>106</c:v>
                </c:pt>
              </c:numCache>
            </c:numRef>
          </c:val>
          <c:extLst>
            <c:ext xmlns:c16="http://schemas.microsoft.com/office/drawing/2014/chart" uri="{C3380CC4-5D6E-409C-BE32-E72D297353CC}">
              <c16:uniqueId val="{00000012-90AC-45F2-8A2B-EDCF3EE72A7D}"/>
            </c:ext>
          </c:extLst>
        </c:ser>
        <c:dLbls>
          <c:showLegendKey val="0"/>
          <c:showVal val="0"/>
          <c:showCatName val="0"/>
          <c:showSerName val="0"/>
          <c:showPercent val="0"/>
          <c:showBubbleSize val="0"/>
        </c:dLbls>
        <c:gapWidth val="219"/>
        <c:overlap val="-27"/>
        <c:axId val="1322530831"/>
        <c:axId val="1322529391"/>
      </c:barChart>
      <c:catAx>
        <c:axId val="13225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29391"/>
        <c:crosses val="autoZero"/>
        <c:auto val="1"/>
        <c:lblAlgn val="ctr"/>
        <c:lblOffset val="100"/>
        <c:noMultiLvlLbl val="0"/>
      </c:catAx>
      <c:valAx>
        <c:axId val="13225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[ecommerce-project.xlsx]Sheet4!pvtQty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6-10</c:v>
                </c:pt>
                <c:pt idx="6">
                  <c:v>More than 10</c:v>
                </c:pt>
              </c:strCache>
            </c:strRef>
          </c:cat>
          <c:val>
            <c:numRef>
              <c:f>Sheet4!$B$4:$B$11</c:f>
              <c:numCache>
                <c:formatCode>General</c:formatCode>
                <c:ptCount val="7"/>
                <c:pt idx="0">
                  <c:v>159</c:v>
                </c:pt>
                <c:pt idx="1">
                  <c:v>235</c:v>
                </c:pt>
                <c:pt idx="2">
                  <c:v>145</c:v>
                </c:pt>
                <c:pt idx="3">
                  <c:v>99</c:v>
                </c:pt>
                <c:pt idx="4">
                  <c:v>76</c:v>
                </c:pt>
                <c:pt idx="5">
                  <c:v>151</c:v>
                </c:pt>
                <c:pt idx="6">
                  <c:v>94</c:v>
                </c:pt>
              </c:numCache>
            </c:numRef>
          </c:val>
          <c:extLst>
            <c:ext xmlns:c16="http://schemas.microsoft.com/office/drawing/2014/chart" uri="{C3380CC4-5D6E-409C-BE32-E72D297353CC}">
              <c16:uniqueId val="{00000000-567A-4CF7-99D1-51FB1F075329}"/>
            </c:ext>
          </c:extLst>
        </c:ser>
        <c:dLbls>
          <c:showLegendKey val="0"/>
          <c:showVal val="0"/>
          <c:showCatName val="0"/>
          <c:showSerName val="0"/>
          <c:showPercent val="0"/>
          <c:showBubbleSize val="0"/>
        </c:dLbls>
        <c:gapWidth val="219"/>
        <c:overlap val="-27"/>
        <c:axId val="1522030479"/>
        <c:axId val="1522031439"/>
      </c:barChart>
      <c:catAx>
        <c:axId val="15220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31439"/>
        <c:crosses val="autoZero"/>
        <c:auto val="1"/>
        <c:lblAlgn val="ctr"/>
        <c:lblOffset val="100"/>
        <c:noMultiLvlLbl val="0"/>
      </c:catAx>
      <c:valAx>
        <c:axId val="152203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3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[ecommerce-project.xlsx]Sheet5!pvtProduct</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Male</c:v>
                </c:pt>
              </c:strCache>
            </c:strRef>
          </c:tx>
          <c:spPr>
            <a:solidFill>
              <a:schemeClr val="accent1"/>
            </a:solidFill>
            <a:ln>
              <a:noFill/>
            </a:ln>
            <a:effectLst/>
          </c:spPr>
          <c:invertIfNegative val="0"/>
          <c:cat>
            <c:strRef>
              <c:f>Sheet5!$A$5:$A$25</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Sheet5!$B$5:$B$25</c:f>
              <c:numCache>
                <c:formatCode>General</c:formatCode>
                <c:ptCount val="20"/>
                <c:pt idx="0">
                  <c:v>713</c:v>
                </c:pt>
                <c:pt idx="1">
                  <c:v>598</c:v>
                </c:pt>
                <c:pt idx="2">
                  <c:v>393</c:v>
                </c:pt>
                <c:pt idx="3">
                  <c:v>318</c:v>
                </c:pt>
                <c:pt idx="4">
                  <c:v>306</c:v>
                </c:pt>
                <c:pt idx="5">
                  <c:v>295</c:v>
                </c:pt>
                <c:pt idx="6">
                  <c:v>293</c:v>
                </c:pt>
                <c:pt idx="7">
                  <c:v>275</c:v>
                </c:pt>
                <c:pt idx="8">
                  <c:v>246</c:v>
                </c:pt>
                <c:pt idx="9">
                  <c:v>202</c:v>
                </c:pt>
                <c:pt idx="10">
                  <c:v>187</c:v>
                </c:pt>
                <c:pt idx="11">
                  <c:v>168</c:v>
                </c:pt>
                <c:pt idx="12">
                  <c:v>118</c:v>
                </c:pt>
                <c:pt idx="13">
                  <c:v>103</c:v>
                </c:pt>
                <c:pt idx="14">
                  <c:v>94</c:v>
                </c:pt>
                <c:pt idx="15">
                  <c:v>93</c:v>
                </c:pt>
                <c:pt idx="16">
                  <c:v>90</c:v>
                </c:pt>
                <c:pt idx="17">
                  <c:v>76</c:v>
                </c:pt>
                <c:pt idx="18">
                  <c:v>69</c:v>
                </c:pt>
                <c:pt idx="19">
                  <c:v>35</c:v>
                </c:pt>
              </c:numCache>
            </c:numRef>
          </c:val>
          <c:extLst>
            <c:ext xmlns:c16="http://schemas.microsoft.com/office/drawing/2014/chart" uri="{C3380CC4-5D6E-409C-BE32-E72D297353CC}">
              <c16:uniqueId val="{00000000-E4AC-40D4-9979-8C0C5AA0C471}"/>
            </c:ext>
          </c:extLst>
        </c:ser>
        <c:dLbls>
          <c:showLegendKey val="0"/>
          <c:showVal val="0"/>
          <c:showCatName val="0"/>
          <c:showSerName val="0"/>
          <c:showPercent val="0"/>
          <c:showBubbleSize val="0"/>
        </c:dLbls>
        <c:gapWidth val="150"/>
        <c:overlap val="100"/>
        <c:axId val="1522048239"/>
        <c:axId val="1522053519"/>
      </c:barChart>
      <c:catAx>
        <c:axId val="152204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53519"/>
        <c:crosses val="autoZero"/>
        <c:auto val="1"/>
        <c:lblAlgn val="ctr"/>
        <c:lblOffset val="100"/>
        <c:noMultiLvlLbl val="0"/>
      </c:catAx>
      <c:valAx>
        <c:axId val="1522053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[ecommerce-project.xlsx]Sheet5!pvtGender</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Sheet5!$B$30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57-4FDE-B379-FDBB44A72B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57-4FDE-B379-FDBB44A72B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57-4FDE-B379-FDBB44A72B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57-4FDE-B379-FDBB44A72BC9}"/>
              </c:ext>
            </c:extLst>
          </c:dPt>
          <c:cat>
            <c:strRef>
              <c:f>Sheet5!$A$31:$A$35</c:f>
              <c:strCache>
                <c:ptCount val="4"/>
                <c:pt idx="0">
                  <c:v>Female</c:v>
                </c:pt>
                <c:pt idx="1">
                  <c:v>Male</c:v>
                </c:pt>
                <c:pt idx="2">
                  <c:v>Other</c:v>
                </c:pt>
                <c:pt idx="3">
                  <c:v>Unknown</c:v>
                </c:pt>
              </c:strCache>
            </c:strRef>
          </c:cat>
          <c:val>
            <c:numRef>
              <c:f>Sheet5!$B$31:$B$35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7B25-4B5C-AC2E-03348111D0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[ecommerce-project.xlsx]Sheet6!pvtDuration</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Sheet6!$A$4:$A$18</c:f>
              <c:strCach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14</c:v>
                </c:pt>
              </c:strCache>
            </c:strRef>
          </c:cat>
          <c:val>
            <c:numRef>
              <c:f>Sheet6!$B$4:$B$18</c:f>
              <c:numCache>
                <c:formatCode>General</c:formatCode>
                <c:ptCount val="14"/>
                <c:pt idx="0">
                  <c:v>68</c:v>
                </c:pt>
                <c:pt idx="1">
                  <c:v>388</c:v>
                </c:pt>
                <c:pt idx="2">
                  <c:v>189</c:v>
                </c:pt>
                <c:pt idx="3">
                  <c:v>140</c:v>
                </c:pt>
                <c:pt idx="4">
                  <c:v>79</c:v>
                </c:pt>
                <c:pt idx="5">
                  <c:v>33</c:v>
                </c:pt>
                <c:pt idx="6">
                  <c:v>23</c:v>
                </c:pt>
                <c:pt idx="7">
                  <c:v>14</c:v>
                </c:pt>
                <c:pt idx="8">
                  <c:v>5</c:v>
                </c:pt>
                <c:pt idx="9">
                  <c:v>3</c:v>
                </c:pt>
                <c:pt idx="10">
                  <c:v>6</c:v>
                </c:pt>
                <c:pt idx="11">
                  <c:v>5</c:v>
                </c:pt>
                <c:pt idx="12">
                  <c:v>1</c:v>
                </c:pt>
                <c:pt idx="13">
                  <c:v>5</c:v>
                </c:pt>
              </c:numCache>
            </c:numRef>
          </c:val>
          <c:extLst>
            <c:ext xmlns:c16="http://schemas.microsoft.com/office/drawing/2014/chart" uri="{C3380CC4-5D6E-409C-BE32-E72D297353CC}">
              <c16:uniqueId val="{00000000-EC56-41D0-BACE-70EFB6E843E7}"/>
            </c:ext>
          </c:extLst>
        </c:ser>
        <c:dLbls>
          <c:showLegendKey val="0"/>
          <c:showVal val="0"/>
          <c:showCatName val="0"/>
          <c:showSerName val="0"/>
          <c:showPercent val="0"/>
          <c:showBubbleSize val="0"/>
        </c:dLbls>
        <c:gapWidth val="219"/>
        <c:overlap val="-27"/>
        <c:axId val="1323684927"/>
        <c:axId val="1323687807"/>
      </c:barChart>
      <c:catAx>
        <c:axId val="13236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87807"/>
        <c:crosses val="autoZero"/>
        <c:auto val="1"/>
        <c:lblAlgn val="ctr"/>
        <c:lblOffset val="100"/>
        <c:noMultiLvlLbl val="0"/>
      </c:catAx>
      <c:valAx>
        <c:axId val="132368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[ecommerce-project.xlsx]Sheet6!pvtRating</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Sheet6!$B$25:$B$26</c:f>
              <c:strCache>
                <c:ptCount val="1"/>
                <c:pt idx="0">
                  <c:v>1</c:v>
                </c:pt>
              </c:strCache>
            </c:strRef>
          </c:tx>
          <c:spPr>
            <a:solidFill>
              <a:schemeClr val="accent1"/>
            </a:solidFill>
            <a:ln>
              <a:noFill/>
            </a:ln>
            <a:effectLst/>
          </c:spPr>
          <c:invertIfNegative val="0"/>
          <c:cat>
            <c:strRef>
              <c:f>Sheet6!$A$27:$A$30</c:f>
              <c:strCache>
                <c:ptCount val="3"/>
                <c:pt idx="0">
                  <c:v>Oca</c:v>
                </c:pt>
                <c:pt idx="1">
                  <c:v>Şub</c:v>
                </c:pt>
                <c:pt idx="2">
                  <c:v>Mar</c:v>
                </c:pt>
              </c:strCache>
            </c:strRef>
          </c:cat>
          <c:val>
            <c:numRef>
              <c:f>Sheet6!$B$27:$B$30</c:f>
              <c:numCache>
                <c:formatCode>General</c:formatCode>
                <c:ptCount val="3"/>
                <c:pt idx="0">
                  <c:v>1</c:v>
                </c:pt>
                <c:pt idx="1">
                  <c:v>1</c:v>
                </c:pt>
                <c:pt idx="2">
                  <c:v>2</c:v>
                </c:pt>
              </c:numCache>
            </c:numRef>
          </c:val>
          <c:extLst>
            <c:ext xmlns:c16="http://schemas.microsoft.com/office/drawing/2014/chart" uri="{C3380CC4-5D6E-409C-BE32-E72D297353CC}">
              <c16:uniqueId val="{00000000-5C92-4EE9-BB9D-C861D3C4FBAC}"/>
            </c:ext>
          </c:extLst>
        </c:ser>
        <c:ser>
          <c:idx val="1"/>
          <c:order val="1"/>
          <c:tx>
            <c:strRef>
              <c:f>Sheet6!$C$25:$C$26</c:f>
              <c:strCache>
                <c:ptCount val="1"/>
                <c:pt idx="0">
                  <c:v>2</c:v>
                </c:pt>
              </c:strCache>
            </c:strRef>
          </c:tx>
          <c:spPr>
            <a:solidFill>
              <a:schemeClr val="accent2"/>
            </a:solidFill>
            <a:ln>
              <a:noFill/>
            </a:ln>
            <a:effectLst/>
          </c:spPr>
          <c:invertIfNegative val="0"/>
          <c:cat>
            <c:strRef>
              <c:f>Sheet6!$A$27:$A$30</c:f>
              <c:strCache>
                <c:ptCount val="3"/>
                <c:pt idx="0">
                  <c:v>Oca</c:v>
                </c:pt>
                <c:pt idx="1">
                  <c:v>Şub</c:v>
                </c:pt>
                <c:pt idx="2">
                  <c:v>Mar</c:v>
                </c:pt>
              </c:strCache>
            </c:strRef>
          </c:cat>
          <c:val>
            <c:numRef>
              <c:f>Sheet6!$C$27:$C$30</c:f>
              <c:numCache>
                <c:formatCode>General</c:formatCode>
                <c:ptCount val="3"/>
                <c:pt idx="0">
                  <c:v>19</c:v>
                </c:pt>
                <c:pt idx="1">
                  <c:v>21</c:v>
                </c:pt>
                <c:pt idx="2">
                  <c:v>15</c:v>
                </c:pt>
              </c:numCache>
            </c:numRef>
          </c:val>
          <c:extLst>
            <c:ext xmlns:c16="http://schemas.microsoft.com/office/drawing/2014/chart" uri="{C3380CC4-5D6E-409C-BE32-E72D297353CC}">
              <c16:uniqueId val="{00000004-5C92-4EE9-BB9D-C861D3C4FBAC}"/>
            </c:ext>
          </c:extLst>
        </c:ser>
        <c:ser>
          <c:idx val="2"/>
          <c:order val="2"/>
          <c:tx>
            <c:strRef>
              <c:f>Sheet6!$D$25:$D$26</c:f>
              <c:strCache>
                <c:ptCount val="1"/>
                <c:pt idx="0">
                  <c:v>3</c:v>
                </c:pt>
              </c:strCache>
            </c:strRef>
          </c:tx>
          <c:spPr>
            <a:solidFill>
              <a:schemeClr val="accent3"/>
            </a:solidFill>
            <a:ln>
              <a:noFill/>
            </a:ln>
            <a:effectLst/>
          </c:spPr>
          <c:invertIfNegative val="0"/>
          <c:cat>
            <c:strRef>
              <c:f>Sheet6!$A$27:$A$30</c:f>
              <c:strCache>
                <c:ptCount val="3"/>
                <c:pt idx="0">
                  <c:v>Oca</c:v>
                </c:pt>
                <c:pt idx="1">
                  <c:v>Şub</c:v>
                </c:pt>
                <c:pt idx="2">
                  <c:v>Mar</c:v>
                </c:pt>
              </c:strCache>
            </c:strRef>
          </c:cat>
          <c:val>
            <c:numRef>
              <c:f>Sheet6!$D$27:$D$30</c:f>
              <c:numCache>
                <c:formatCode>General</c:formatCode>
                <c:ptCount val="3"/>
                <c:pt idx="0">
                  <c:v>51</c:v>
                </c:pt>
                <c:pt idx="1">
                  <c:v>66</c:v>
                </c:pt>
                <c:pt idx="2">
                  <c:v>73</c:v>
                </c:pt>
              </c:numCache>
            </c:numRef>
          </c:val>
          <c:extLst>
            <c:ext xmlns:c16="http://schemas.microsoft.com/office/drawing/2014/chart" uri="{C3380CC4-5D6E-409C-BE32-E72D297353CC}">
              <c16:uniqueId val="{00000005-5C92-4EE9-BB9D-C861D3C4FBAC}"/>
            </c:ext>
          </c:extLst>
        </c:ser>
        <c:ser>
          <c:idx val="3"/>
          <c:order val="3"/>
          <c:tx>
            <c:strRef>
              <c:f>Sheet6!$E$25:$E$26</c:f>
              <c:strCache>
                <c:ptCount val="1"/>
                <c:pt idx="0">
                  <c:v>4</c:v>
                </c:pt>
              </c:strCache>
            </c:strRef>
          </c:tx>
          <c:spPr>
            <a:solidFill>
              <a:schemeClr val="accent4"/>
            </a:solidFill>
            <a:ln>
              <a:noFill/>
            </a:ln>
            <a:effectLst/>
          </c:spPr>
          <c:invertIfNegative val="0"/>
          <c:cat>
            <c:strRef>
              <c:f>Sheet6!$A$27:$A$30</c:f>
              <c:strCache>
                <c:ptCount val="3"/>
                <c:pt idx="0">
                  <c:v>Oca</c:v>
                </c:pt>
                <c:pt idx="1">
                  <c:v>Şub</c:v>
                </c:pt>
                <c:pt idx="2">
                  <c:v>Mar</c:v>
                </c:pt>
              </c:strCache>
            </c:strRef>
          </c:cat>
          <c:val>
            <c:numRef>
              <c:f>Sheet6!$E$27:$E$30</c:f>
              <c:numCache>
                <c:formatCode>General</c:formatCode>
                <c:ptCount val="3"/>
                <c:pt idx="0">
                  <c:v>118</c:v>
                </c:pt>
                <c:pt idx="1">
                  <c:v>142</c:v>
                </c:pt>
                <c:pt idx="2">
                  <c:v>153</c:v>
                </c:pt>
              </c:numCache>
            </c:numRef>
          </c:val>
          <c:extLst>
            <c:ext xmlns:c16="http://schemas.microsoft.com/office/drawing/2014/chart" uri="{C3380CC4-5D6E-409C-BE32-E72D297353CC}">
              <c16:uniqueId val="{00000010-91ED-4B92-A673-28CC3975D1C9}"/>
            </c:ext>
          </c:extLst>
        </c:ser>
        <c:ser>
          <c:idx val="4"/>
          <c:order val="4"/>
          <c:tx>
            <c:strRef>
              <c:f>Sheet6!$F$25:$F$26</c:f>
              <c:strCache>
                <c:ptCount val="1"/>
                <c:pt idx="0">
                  <c:v>5</c:v>
                </c:pt>
              </c:strCache>
            </c:strRef>
          </c:tx>
          <c:spPr>
            <a:solidFill>
              <a:schemeClr val="accent5"/>
            </a:solidFill>
            <a:ln>
              <a:noFill/>
            </a:ln>
            <a:effectLst/>
          </c:spPr>
          <c:invertIfNegative val="0"/>
          <c:cat>
            <c:strRef>
              <c:f>Sheet6!$A$27:$A$30</c:f>
              <c:strCache>
                <c:ptCount val="3"/>
                <c:pt idx="0">
                  <c:v>Oca</c:v>
                </c:pt>
                <c:pt idx="1">
                  <c:v>Şub</c:v>
                </c:pt>
                <c:pt idx="2">
                  <c:v>Mar</c:v>
                </c:pt>
              </c:strCache>
            </c:strRef>
          </c:cat>
          <c:val>
            <c:numRef>
              <c:f>Sheet6!$F$27:$F$30</c:f>
              <c:numCache>
                <c:formatCode>General</c:formatCode>
                <c:ptCount val="3"/>
                <c:pt idx="0">
                  <c:v>89</c:v>
                </c:pt>
                <c:pt idx="1">
                  <c:v>102</c:v>
                </c:pt>
                <c:pt idx="2">
                  <c:v>106</c:v>
                </c:pt>
              </c:numCache>
            </c:numRef>
          </c:val>
          <c:extLst>
            <c:ext xmlns:c16="http://schemas.microsoft.com/office/drawing/2014/chart" uri="{C3380CC4-5D6E-409C-BE32-E72D297353CC}">
              <c16:uniqueId val="{00000012-91ED-4B92-A673-28CC3975D1C9}"/>
            </c:ext>
          </c:extLst>
        </c:ser>
        <c:dLbls>
          <c:showLegendKey val="0"/>
          <c:showVal val="0"/>
          <c:showCatName val="0"/>
          <c:showSerName val="0"/>
          <c:showPercent val="0"/>
          <c:showBubbleSize val="0"/>
        </c:dLbls>
        <c:gapWidth val="219"/>
        <c:overlap val="-27"/>
        <c:axId val="1322530831"/>
        <c:axId val="1322529391"/>
      </c:barChart>
      <c:catAx>
        <c:axId val="13225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29391"/>
        <c:crosses val="autoZero"/>
        <c:auto val="1"/>
        <c:lblAlgn val="ctr"/>
        <c:lblOffset val="100"/>
        <c:noMultiLvlLbl val="0"/>
      </c:catAx>
      <c:valAx>
        <c:axId val="13225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tr-TR" sz="1400" b="1" i="0" u="none" strike="noStrike" baseline="0">
                <a:solidFill>
                  <a:sysClr val="windowText" lastClr="000000">
                    <a:lumMod val="65000"/>
                    <a:lumOff val="35000"/>
                  </a:sysClr>
                </a:solidFill>
                <a:latin typeface="Aptos Narrow" panose="02110004020202020204"/>
              </a:rPr>
              <a:t>Where do our customers live?</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A30928B5-A6A0-46F7-BE46-A8B6D297C39A}">
          <cx:tx>
            <cx:txData>
              <cx:f>_xlchart.v5.2</cx:f>
              <cx:v>Sum of Quantity</cx:v>
            </cx:txData>
          </cx:tx>
          <cx:dataId val="0"/>
          <cx:layoutPr>
            <cx:geography cultureLanguage="en-US" cultureRegion="TR" attribution="Powered by Bing">
              <cx:geoCache provider="{E9337A44-BEBE-4D9F-B70C-5C5E7DAFC167}">
                <cx:binary>3H1bc9s40vZfSeX6owcHEiC3drZqQerk8ylxkhuWYiskeCYAHn/910qcrCXLWaVqdfHKM5kph2qo
yQdodD/daP7zsf/HY7Zaqnd9nhX6H4/93+9jY6p//PWXfoxX+VKf5PJRlbr8Zk4ey/yv8ts3+bj6
60ktO1lEfxGE7b8e46Uyq/79v/4Jo0Wr8rx8XBpZFjfNSg23K91kRv/m2s5L75ZPuSwCqY2Sjwb/
/d5fZvJbqQq5fL95jfz9/t/ZMl89Ld/5ZVOY4f27VWGkGe6HavX3+41xyPt3f21/3SvV3mWgvWme
QJjyExfZLnEZ9b7/8PfvsrKIni9bmJATwonNGYz841svQZU/0ui7PsunJ7XSGu7s+/9fD7BxG/A0
/v3fn8Lj+mmsAYgAi7/ffyikWT29uzNLs9Lv30ldfn9cavDL9a1+uPv+bP7ahPBf/9z6C3haW3/z
AuXtR/vfLm0C+V9AnmTvglItn8oDwOyecOIxhzyj7HnbMKMT7nnYdh2G1j94E+0/Um033q+H2APx
10JHhvm/c8BbHQRwCosWEdfegTQnxKPI24X0/grthnlLfg+MtySODOBglb27LGH3+N9jbOMT7tic
E+y+YbvtE4JsCrZ7y3j/kVK7cX49xB5QvxY6MrRFYw6BNPVOHEyojRz7B9Lu9qLGJ45jM4zJluHe
W6HdKG+K74HwpsCRoeuXWaMP4YR5sE49Qhl2vptkBMt12wlDyKXMs53NfXl/jXbjuyW/B8BbEkeG
8LzJv5bZkzmAsQYHy2XYtgnbBtc+wQxTBE74j8W9CfGfqLQb5Fcj7AHzK5kjAxqCrWW7Ukv9v0ea
uifYYwQTzt9YzeiEuev1bsNUeBlT/ZFSu7F+PcQeYL8WOjK0L5fVIcy2e0I8iI1h0/0BNN1e2RA7
ux7s2u6W/7WvPrsx3pDeA96Nzx8Zsn4JDMAaW20OgzBaO9eUQnC8/nnld5ETTCFo5hiubCzlP9Rr
N9I7724PxHfKHRnyFyv1CGyPfwBGjCLmMZc9b8evMEcntos9jrm9K4DeX6/dmG/J74H2lsSR4TwF
2rA4BCXGTjjFzHEw/rG2tykx7IHH5sA/eMvp3l+j3Qhvye+B8JbEkSE8y1ZFcYCFDEEzQQ72Xnvc
YLU9F3PqbO3Le2uyG9hN8T1w3RQ4MljvlsW703JZN/IQ4PITzwH2i9jkDd8Lg3NGbOBLfsTUW7zI
Hyq3G+9dg+yB+i6xI8P+fKn16gCw27D3Ysd2vWfU0SuXG2IruGy7DBJZLx2y/TXajfWW/B4wb0kc
GcKLvFopucwOYLcJpKKI69j0jbAKOycO7NsOhvzG+mdraf+JZruxfjXCHmi/kjkyvM8gGX4IsoSd
UCBKwFA7b3phDK5BjL21oPdWaDfGm+J7ALwpcGToLorhMC62iwg4Yfw5bfHKxV5TZR5jrrsVPu+r
z25sN6T3gHbj80eG7N3yUUHBRmEOga974nDmAQGCfizeV8Uj+MT21v9A6mqHpf4z3XZjvWOMPRDf
IXVkuJ+t1AH8L+qcUP49D/lj613vvRuZKgia14wZBqO+6X/tq89ulDek98B34/NHhuz5Mj1AMQGk
mKFUAHMEhSHff3bkID3sYObyrazFvvrsRnZDeg9kNz5/ZMhertrlQYr8IL/MCHcpes4vv4qaMKxa
SC7b3ha2+2u0G90t+T3w3ZI4MoTPS/3u30W0ylaH8KXtE+QQQt2fvvQ2c40hYWVTqAuDZb5jO/5D
5XYjvmuQPWDfJXZk2F8snyDhfIB4mZ1Auhm4TP68urf3ZIJOEAMnzcbgf7/kRPbXaDfWW/J7wLwl
cWQI3zfZUh1ib4YgmSIMnNePks1dXhfxIIjCDlj2lwjvr9FuhLfk90B4S+LIEL5YqkOx2dwGPhs9
12dvW26owncoBlJznYF+CfDeCu3Gd1N8D3g3BY4NXUjar9RqOIiNZpxxTtFzTdAOD4w5zGZ0+5zF
xR/o9AbG2yPsA/O2zJEhfaWW4IUdAGcK3DWconDZG4W6GM7bOFB6z7ZZ6/012o3ylvweGG9JHBnC
19nycXWYgxWu9x3j5714x0oGvhNyF+QXof3SYO+v126ct+T3wHlL4uhwbuAM3wFWsnfiUcbhxNRz
ecgrbhOdQJrRczy6VR5yne2r0VsIb8jvhfCGxJEhfFcWZX6IuMk9sanHoILzrT0ZEpEYNmWInDad
rv012o3wlvweCG9JHBnCtxJKsbV8OsyG7LnIofSZr34dOnFgtDmC9OJWcPxHSu3G+fUQe0D9WujI
0F6Xv4gVnNU9REaKgXtF1mel3kgnE8hIIYLgIMYW0/lnWu3Ge8cYewC+Q+rYEI+XBynPhmogh0PM
5NK3TlqQE+pi5LrrEsCXXtjd3hq9gfSm/D4ob0ocG8Lf17QqlupJHqRYF85IwQE47AIP9v1n2+uG
uIrASQvwzLeA/mPF3gB89zj7AL9b8ggnQCBX0SFs+nc3jDtQE7adbOZwcg4WuPvT2r/Gfm+d3oZ9
c4g9Ed8UOkKwp8CgPEr9WP585v+bZiTcRYgDk/0rdt6oLgAaFOp9sePSHcv8l0b7BINvw/16mD0h
fy14hLBfQG+VQ6xxDmdqoJUBBNNvVBLBUTriYqgl2qr2XHtPeyv1NuqbQ+yJ+KbQ8aENR+rEUn1d
HiRraa+X8jqj8fbxG+a51MZw7P37z09D86P/EOD+Z+q9if2OYfbDf4fgUc4BH7Kah+BfIPKGWgSo
N3rroB0+Wec0oSxli2H7gf3eav0O+c1B9sZ9U+w4UVfNuM9O+of9xqBYgdvYRvh5VW/7dLDFQ9Mi
8AK2S5GeQd9Tq99i/nKM/SF/KXVsiEudyqFs/vd4r3sUUXDYyM/+cuC4bbt0jMJxDqhQ2TLwf6DT
G2hvj7AP1tsyx4Z0mS0PEqBDaZkDic91ivv7z6siJFjXtuc66BXxtrdGb6C8Kb8PxpsSx4awWRZS
Z8vmEEkxDqfrEJybZW8VCUMhKVrXGPKtOhVoyvgHWr2B9Osx9kH7tdSxIb5uOnaIVLcHzS0IgU42
zy76q70an7D1qn9VNny3t0ZvIL0pvw/KmxJHhvBH4K6bg/jg0CHQBWIVvdXgBM5zQKtIjBjaWtB/
oNJujLcH2APkbZEjQ/l+FS8PkeiGNAkclWVQG/5GqL3u8QuBNvQP/HGseoti2V+v3Uhvye8B9JbE
seHcQB/BvDhEthu6IriQBwGL/IYXhiAhRjB2yZa3ff8HOr2B8vYI++C8LXNkSH8us0OQpe4JlJIC
FYqAF9kMpiDa4nC8A/oJbgZT+yqyG9oN6T1g3fj8/wFIf6/ixg2vW3j/++ez3ZHy+PP26wT6tjIg
QXcvWNh/GYYKJQyHN3awoNC571fP+B/57V067Ub1pezGPf64xd8/lMM0V3+78fqvHvbB0iwn37vf
v+i9/vur328fuvZviT4XBOx6YM+XFk9/v3cgIfEC1PUYG5UEL5/iDwT+I7WCsoe/31sYQ/Z6fSoL
QSNmBzpKwYDd6sclAjT4+lQehFUuzIJ1dqOAbtHx3+9tCJgxtAyF9vwAPfR4BgdMl836El2fBoAB
IVnmQu0DHLf99WaC6zIborL49UCef39XNPl1KQuj/36P4TuqHx/7ripyPNj44WAng9idQkcdsCrV
4/J23fABPv3/zEjLqm6a/rLoqDdpuzCuREkTnvop79obZjnDadK3RTpBKDWfTWm3H1Jb97XQXlE/
vHh6u7SBusptbSCPDz0hoL0avJhgbcleamMXQ5V6cdNekrrAl1E6FqFoeMliv29N6Ym2s5vPvK0s
KVTumtqvE5VGIhw1t30o3S2ePGPQFYwRNwHJMvxhdCwXzwbmhCs8WLif/l5jAtWArzSG6n5oSgMt
iaCNK9rSWPIYsB3MJe2dKApYP2YfWuBC6NTwoXREO/Q4CSQPXTFyNkgxpIjO8lYNOFBtaZ7iXmvs
S6tyAg2vnWiFyWPUCq6cNJpEZRJfp413mmsv1gFUwngfdVyfpVnn9BOpLXYhVdzms9/f1WsYoIgZ
QSMW6B4OSfbvN/1iUvDBijqryvRlYULvYxm5mAg7JTA1qqLpr7teeXdViLNPv//a9Vx7ORfhaCL0
UuQUuqPCWRhC12q9+FoH9ZFd6ai4LNwRX+I0bi4LrXzphvHH338TLJ9X3+RBKRiHXkHQzc/dmmdV
YQ9jreLy0q2Qvay7UmWz0LgDEWkVT1DdZKNP0eCWfkKdLv9vk2Y9KTZvFCYK9MawoQssdP/d/nrg
0WQcFbm85HXqLPOkcZZpttbBGXM9YaosxYAA+lmX1R0RdVrylck8vei8wT7vGVXIp11Spn7Ci/wD
VRWhQewOw6qy2ipA1phz3/FKW80dysZG/P7prXvgbevP12YDsnPwdhDwRjaBQqxxCscJrQvchPlS
KqMjga3UFLagw1BEp10s06+R61Xn/VjHU1bavfQJbvk3w8ex9Ic44r5dJu1KKsqfWqeK+envlbSd
VyBTm8IkWucaIHfscPB6X04nplyJVGzoRWLXVei5gfHicdabnnpT0zaNr/oa3bT54DQijmPuK1zM
NFHVLLMr4qdZnd9WmZP3gmdd9NAlebkYtDGicurqA9OpG4R1EfpNmSRSSEOTToSJLi67ytJXtTXS
SRRhLxHWGBa5T9o4nzvMZLckia6joaC9yBpeX5qwvjckt2jAWgIPUg4EbIPdjKNAnZucZ7Hjfg5R
Y5/GzMXnY9S3nt+h2M6hX/cgF5arhlx0gzsGuHOsYEz6x0rX5q5BFo9Flxs+DXXdLOyQkPs6xl06
C7mFpRjjNPwKOTrVClnU1pcm53lQVZos0rKoFrj2sifZVgzWPc3TO+mFPRdtbUenKlSNP8BzmGGb
eFd1l/cTu1P1FOMet5MMmqZGfttFbu23JA4nuaYqaCrvKg6tCAUYl2YOWw3p/AIlTLiGZ5/6HMVn
RHnVnUONM2u8xCJTzfJx6bJSTTTqk3Hapm40tfoeLYnOum86qirHH4lBjSgi0kbT3iQlLI6umwxR
27hTVYZxkBmazwv4qPCYrUp40HnLRaKTxPJ52HHBS6cfhW2y0KfGKvKZYukkspsB3XQU2/AmH4Uy
kcBMMlNqOk/Pesr7c5aOYxbeNF1t8lwMMhsK9RSHMSHjZ91ZPc9j4Skw5eUjGfLEUAU99JumQpcm
NXnan3qyHmet15hwkSspK5GQrLxD3KKLZKC08RvAIBRDjbwe4MpdNyjCEPZDk6VdPWFpFyFfZQaH
V3GNGC/n6cC7OBj6zDPnTBsKM6oLS6w7v4G9cMqsOAmvWlg6LPJrt3JhwtFU59Mik8oTWQ2bVzjp
W8l8KwTP1RFDiAobevCGee7HXtOF0y7jWT7RIXgFU6eI8tF3RwcsZkFSu/HzWFmZaPUQ6WstrTyf
lJF0v1lNyyUKUEnMTNpu4146VhiFpwXlhjuJX/S6Hoe5hlyRiidVFPN8Eup2rKee0oWcDhnLhznS
Oq98hwyZ9HnvDNlMyVpaPsBKHqwqH3EA5eBpHsAfZF1lCbI0PPKieEjy3MsXVHkmm6SxYbdjYyid
JlZJ8FncxZoXgsckNrNQtVVxB5sxPU2ikaTTpgINJqXJonHi4n70fDcZqu4idweY2hYsFRWEGDen
ijpOFkQhjZqAFy3AKbkG/6QYEzqushROJAQuKJAHdMjjeoGRtOeR5CnzSZrWNJClDIOxCVNHWJ2q
vOsk7BLbp7JORpFXyWidoTCzp7gKIwfU9Xg1wUM8lotY4i6apJ4dd2L9OYE96RUwfSJa+30nrVGY
XlpfFDSDGiwhYR2RSzwWcpTCbW2L3g9ZR5pLVnlDGRRebS6cpoAtKdI8BQEvp/C0Qhnj4vOIsyI+
rYc866e6c0Z5hk1k7u2EOEunD/NQuBgm77Qpek4nmo0SlG9wkgcZrVPtu104kVjWn7OuA88iiZL2
Tjus+1qpmM5b3kXhxE0dREThhjCOk5VJPy1Uiy/HvqL2jTYOvsfGgk90zNKub/DA+0lL8kTOVU9I
tyh4pMmVtLj3sUD1enImSa1nPNOxvu4H27g+qjvAJu4KUKzUYHTPYAfzPlIXwezOwUqqAFoB9+XC
aC8k14lq0vSWuIVnL3o76ZoL05u18xkP/bWTWqyflF0OX12W49iKnuRmnKGUr29+rXoH9gn0qnJ8
aTsF3EVTO/Co4rRMR99LW1g6VRal8qZQHJa8asAriOAa2FRiiviqxvagCkGrGAHcneqbi9yKKy0k
aup+2sPpUzoZ2pqsjQYsJh/uCAxI7+G1n2yK/GMIb4g6dVspXeHGTgrzYojYsisoqNGrZLilpkf6
LAI3NzkrqyJN7lzYLWa6QPiy9qL6M5TXs1rEdizJaelGXnMWxmXUBoPidQcO7kBnFYHH6iNeD49p
ljrXfaNROa/R0KYPHcsjPc9DK/82jN7ahsg6iwOIA1w6kWSI9bRiufdgoTCf5l0V1YLbYOYG1cW3
sjT6zMvTxAkcokgEZg9ekCPamHgfVWK10SQjBSyT0Qqpt7CLEterHAzycArdYGFtdGuLPUkcC55o
347tBDaZrj7DqiHMD73MtLDT0haB610nX5TXevfWAG766egZhZ+MLgYtcox5u5AdgaH6HMejb3cR
ixYVwNL5Vuqx6Vi2rbnoB57dJa2uhcv13M771pmPHQNwUoT1OKuytCwvCtbb55ZBdjmJ6yJvz6Kh
q2LfdXQe34Mnop+QV4AZAdOpW5HGutPC61q3hl1gqO+yqMbyEy5H6rZiBA9s+FAZankwmA7VJOZW
Gp1aYdV9jSNktX7GNUsX0kP4ptdWOM5UU2s5kWMDk1QSk9DrPs1G5zJnVZaJumoRu7BxbPf+AN6N
nnRxBah1biEjoUaeg+3QOpvgnvYqaDPiqtno1jD7U7uPeDCEA9J+WGlWP3TOgO+TWMFcg53O+whz
PdfXhVdgMLCk8pKpm8esE33zmbhN52KRpi3/4JCi7oLOiYx9YYeZ297WofYUbO4woyeVpIAmBA5D
fy6pSctzrqqYXpMeZWwR9qUH99X3VnSRKqvqglyHYDPAG2vMRZaFoL/y0miqYzeNg65HaDHUNqz7
gTEuhR3G/OK7V/rMXVz/cPJ/BOCPZTUoGcXPbwf89eu/7ssc/v3+orn//OX65YL/+e3i51sJf/up
2apc18Pp7Q+ttfk1FijzrN2avtj45RWV8gZZ8uMlh29cfJtJ+dVfec00QDtP6sCfF078Ljrlx3s5
fnJsm4I/GZV1S5M1IcYYBKnwHwjefjEqcC7Tg+ag1MNwyNpZn6d/ZlTgxRzOulEddHcHswd0B1z6
yajAsWxoWQa57fVbdqA8if0JowJczFZ0tK5QXh/yZh4C3xd6xW/GHUXktm3WuuUVQlk0r6JwFkeW
KxTtzhreDn7XEH3eN6ScUTTSmdc310ViQ8BZ5F+VTcpAW3qeDbEz8Si83zDqGBWJHdd+E9ujSKyO
BLFxLcFrNgZW1+fXdeQ9xM6o/FZR6vdoPIN981w59twtPTCXVjyrh+ohdKPSH2v3YlSDmfAybefw
csvTKE9qWLDO6ejKXEQ2v2DE/hA5VSOMdG+8jqdBoeSNQWoJhGYB5in62OZOJToIY8Fx462ftuMF
K/hDH8L+jin95GXlA+vbMy/F5x3P7i0nvzBuV/lgyj8UKkTCwuCSh90ZH+3bokimOLI+E9n7UR1N
Daq5r1V1XvHyE7y/8pLGeSJip5+1vVMImBRLk7laFH0WC4ubiWRjLHCfZQFVPQOftR4mrls0k7Zt
B4jK8ivV9eBPRHRexkSKvmsuu6xtRDR2eOakZpqw+rZP28R3Ulz4Fhmvacgeianu02aYgj3KBY2K
695m0yHOFxK2dxFyfc0a/iGuw2hS2cMnJjVEgp1TBUDqpn5WyHJK5aCDgvCZUeON6gs+xXF22uNs
FY85bA+GfGCxwrCdkdBnpXeVtJxcZiGf9250V1/a8YI1yToUPGNDkviQ051K3pbCrsF0mzGZGGpa
MOXup5ixSDR1QURWyhnOi0KkefmYclYGiRkSQWo8zVwwzCiaDGaYy6FNRJ4nX5WiKzgPvepKFM2j
2r5cb2p9W0dARLT5JBky+yN1UvDfB5cIHkq/LOrT3GGLzMHgKcZT5UbpFEMQMRn6nvgkYsPMbaqS
i8JpzKRrrRtZdU/emHbKd5BMfKTq2VjbWnBTn9pWTfzaruYeK2NRkjAB54+7ARzQnRMrKmal6pfg
3t5LVAatzifIID+CqQvzyHsoaUv9uDbtXW3jeiK9qJ+kvBlgIkBcj8cGT0xWJYI62a3XAk1HQiqA
hFkUHjsPW41FnqokyKIE1gXPmombVHhK65IIeFsEmloZzXwE++TZQIqb0IofadTZNybMb11lI7Gm
ZBaVhnuJTQd+wNhMtF1mIkLjVVnCSknyvhc0rq5D7pzHOUJBhRJbsAQeYMG+GINPdXkjbbsSSrnX
rpuHi56Vl32YdaI13alHyidbZ5Woh2SZ23k14alOA6u30qAaYX50Tg0kXe1EQTxaMzr4yfiFRPSp
VedJstBlN5FlPfh1CNOgzcPlsHZSyVBfhGOKRUGtu76y5wWOLYg2449WlK7SBpYMKUqY25Uz1V69
yK28Eh6wLrDZZ/dAfnzz2rLzox7mHc34zIa3y05s4HyEVY1GtFFdnFukdy5wkd9bMq8v+xaCCQj3
kwn3xjDox9bymzAs/UihEpzx9qJVqSsgGktE5sm7WMFsduwIL1SWxBM7BMQhxACibhhvyrBiAo8U
C523o18N1i2tVRMg+CYRj3UorJYBxZCm4bQdTBKUtbHnMeDV2vFpChG5aGh9k9v0LCv1HQrRfejI
MsCkPQ3hrOmEjmMvhS6VSq6qHqtPqefobsJ0wRJfN8lZ07TJ6JuW5mQqu7AI6kTqz64Xxfb5QTyH
/3s+AQF28ddri1/5BD9b4Lx2CdZyL1wC2NU9oI5hh4dyBmDpf7kEGIqOXTgkyhgUmoJj8B+XAMqR
4WVdkGwAtoPDaD/9AQfe/QHJAuTZnEBjHviin77PhoMHWaXn319mWPi6DdcGWwpdItZM6fr8IpQ+
Q9X7pj+QV5ldDtDf6TKnYzutUGgHJeKfuRtNSt48EMM+pONNOLQzMM8TUrs3jYk+hNmYgtfNqV/Z
aVAXwwU7TyLrkXbphxxCnABTlcwgIvzKDHCSQwdBSJ7MUVR0ftWUUwer0I/bBKgFhL9YRVt9xaaQ
goJFmSS2DKdjnMw7qdg8jNRpAZStSGj8kDvleTF4n0fLiKxyld/Jejkk6Y0X06Vi+BOsYOIz01+Y
Fpi2AeLXoKrXK2GIhJOX7cOA3C/SVPKsqHA4AUqSBahKPqRN9gUNfFzYebQItVVOmTvOx5p8AXN+
6RXKHxi/89QsHdGk9kolnKT70MTysyuteYfKB62s6JSTKvC07edFe4kTNAWX/LIf5CXwpX49qFQA
R/FUVuYKAoRa1Ky79GRHRSnJwi6nSW1EPJQ+IXdRfaH4tDLp55rEtQAVZ1qPTBjcBpmdaWEcFftp
QtwPoR2K0tF63jLgVMKOzpLQOmd52c1LA95PKJtJVya3EOicM1SOU5vFlg8mcl7DCweVFXeBIboS
sUJALI6x77TN9eB6c5QgJhAQabO4oCsjpX2aFfB9WeZrJxqFx9VXNA4yAFrsPAaCt9TJsmehJ9yG
n3dGXmWVd5lXdsASxxblkJx3UQxEJg845BKEsXsWZMhpRREPNTg7Ze+zrsUiS+1aQDiofSlN7kte
wWSTwPaZfLz2DF86lbWILGmmjSZ+iKxBEDLcdJxpn2Pps5o+DiSpfbtObgucJ0EMyFkV/eCUnajz
TE0QZM3OawsvMre8qJL+S5v3H2Otv1a12wFTPQDTxVgpyqRJ/EHhPEgTswAzDft7nT40UlVidLnn
yzi/CbVNwcns5zk25VRFtBDjANFiWi4oAV8i4e43wANYi+rKVvE0ZWjm4AwBG5mLqgWfZcjoXTIW
XzIszwzuLsqRQMxsitNQm3ME1D7Jm1FkqFq4rfs10dHCi6MZ0IqZYK6+77S8qxrrgyzZAhXlaaPs
VcnYIkXRlYWKL4XOPrC0hoc6duc2VWe0KS+aNoVsQdrfZHk760N5bjcsKMZuXnnlAit76gz2vI7i
08hGsPEP9KzKurNOo2tg97NpMwKvGJlPHY9boe1xCpmWq6rJgGke+anyyK0jq7NUtnM7HRq4w7xZ
JC25spG6iCp+VVTto5YDF25E7nSpH6KiPgv75AICiSCOhtsCZUiksOjTDJI0nXyIUj5zonKeM+ku
BqeYsbaLYXaYC1p40ofc3Y2dRAubkZvcakPwb2o/btSi9dAn1HeZD9xZFnikue1i57xRbQSkEOQg
ijH/BHTrnDct7NImIP0I275bXNCMfRldb9ZZ3cR43TST7edCNXPtoG+jjhohJZmMOvwkIdwDx3ME
bv6WSDP4mdtlZOqWDti+ntJTy87HiWLZmRc157aXLnrTmLVzeAa5nSu7zc5CIFdEUkYXXWjn4CMW
X1tpXGGp7NJC3qwuvUsFnBfQk/00rxGeSAd/lLg577H9QFPrEofJ3biGkLrO1wr3sBqjCSXdGYQu
Dz1qryjGlyjtgxiI+IkauiWx2OjLKpKwTqqgNoCFws60aCI5q938S0XpxeBBJGGkmqdlMksLYCk0
wx/h9RenNXA+cZwEjrZugJDHPrHvedRMpBy/Jhm/Gx0TnReQhFmgKLyt8uLCKlAowjqb2KPzBVds
xkkobNo588QwewKkIZmnvQ1rOVql4BAJXpTobODDOfBaBJI34OchSWe8dpSASVH5pHeVYBGa67z5
pDt5Vxfj+dBE96HS88IaIwil3I9FJ2dwz/fRkD2YOm6BIL1O0zRIUOuThA1gVvqZY5dXnYnAgx91
4LJ2bmXjzIzuQml2M2Z4riIPHg2+smrgOeN2uGkbcgeJUXeCcFEHrupS0eLupqLsQmew308ybZFs
AukX+dHJpQHjz/gZKUIpcjdrp3HNRF6PXEi3hdU5nteSDwISg0oMQwVM8TDjUeFdu7njity0xWS0
ZC1IW0sRtW0vWnhlbBvB42QQoMIO44gYGhUEFcl8IJV853sWy5JBDwkmUbZee5pkfS5qa/hWKL1w
YBWDo1qkPk0UFkz27sTJsoe2jAhEUkwFUD1QQDyouSXyhOW+yqPzDpvqqqix+ZRgbmIBgb01bdzO
udFdMZ5m7lhR0WW2K8GRt/Gk6sbs/7N3Zst529q2fpXzAkyBPXC52fytesmypBuWGwkkQQIkwAbk
059Be3lF8fJKKrvOzanKXVKy9DckgTnH+MZEBvXvYvb1aeqqG4+KXWBRYXvrY9sXd7zX57GHERT7
MvUaOubS7Z+KGa5LzOdcu8Ykk7D7MSgEVNHh81SPqSvoc1D4l9O8YJOpsnacdkMRJpVvHjpClozG
5SesrI/E14diLq9JaF+L2j+3K74mVlY5biSVGsd/6tbwHFftZVE1fhrBYqwbsYNZc5pGbNF6GWkW
6eK6JmEGVfRuQF4pidv12PHoIrTVwdVrwkV3bNmchIoI4BSCp1HtQ5to7weLDUMtS4Z290E2s0xb
R5xJNR8JcS6RKU5RCu092x8BM+wdUR553J95N3yEvnRupAvbBjutT3eCdl+Kes1rwW9tgUphCbt8
Lcoc84vSsB9e25JdOFKmBjedteN5ZM2XyCd8Y2GOilR32qvzyKtSFtRL4rfRobTk3ginTwbpOClY
kGSJeb7qeVegDWVFTZKRmd1Qu4d29J4mGqRNDUoldGBixs6C0qKHN9v0WN3FUwM9n7shHD3t5Qzt
WTLy5uh09SNjxd6n6w2B25qIwX1YZvSvdfdRQSjL0J1UaIWqr4VWU2rhXeRD6V/NIbkquP9iyRDl
Vd2hu4r3NauOrCJsx3lxnsT62i3h1dC5+MRzA0vRw83C1RymM41n1FKdmxdLRK+Vq04yGHPV0Aj6
FLltAueiGeyaOtzfGePopAhLN9GGtIdyiZ7DuV7uGVaaTDT2wlo6QsxSH2243nZO9Ox5dbHrqv6J
TChfgBzshJmaVBp8alq4B7YtPT3sy0mx8sDRHaZhJy47OAeCO+u14+lz5/Ie7oKxWa/bt8m1BiVi
L7MA/7eIJXOn/p5XFob/2h7n2KuTZRgvVr3t2mHwZF08aDWhPNOWQQ5fAkAp1ZWAvxFAkDvG5Wou
ukJH0Jj9jx5vAD7o4paZ5plUaKa3xz3yJ1jAEru50JP/TMvhXnbBrTvb6oL5Eg5Td+QdefA4KhoV
EqhH455D4yCtuOg52Y9xoBMetm8jhaAA4iHnPn0QgzpVQ30WU4Q6c7a58Yanxe3vmO1lIrv4qnb5
VRvXuyYOlrO09WPfsOfA+nc4fEmdQ7+W+cgjtfOG4Hlt2ZEZ10lrUsm9nPCHHShFyq2GDKzMdKib
xkuM7LA78qAl/j2gJg9thNZOkNNmCbw6FX7k5J5bFWudvuv4ftFC/RE3ods0Tags4CCxx2MuH/mp
gfIqQuDpyeq67rpEykuz2oQF93/+IhgK9K5L+/Ei22woyJNggrYu7h18JAqrfceY6posR0deEgfC
YvAwzA9//jJ/5MX+9TIxTjUC+RcAGNvexruXKQhh6AIICnfvbVYfHP+vsJf//BjbqcTIYRE0m+HP
35VhS6RU1DbXcsaNdqDFp7/9/mMabIMR8UVB6f6Jd+OxLFY/7Ntrir4jvAnZd5kDjsSv2+U/iuf/
+f38dK2DSECBwlJ6HbR7p02Fu9NxFkCwfW3q7M8/yi9eCrhZBNAwCClGzPx0KRoKdW5elbgm9WHU
6UCSbpO/U2zDTvcXyNT2tn8nvr59rD9clu0Wf3fZiVsBOIma5rrzU2ZQ0aV4tLCmLtNfsGW/+lDv
r/9PH0rGNVMj/f5CfpXJMrHlDvvIthV3f3Gv/eK5xAQHl/gUu6PveT9hYH4oPYWNV14bkAE4ct3m
YfHlz6/RLx6X9y/x8+22mhC1UkjktaSf6uI5cP4XtzMsnwAMG3i28Jt28+661H0TDoHjyesaK6Af
J83yv1i8gEeCWoH642HCM3yn91deOhL1feSq6zX+NMdXo+wSMvzF2vWri46bOA5xbl4IYvgnx4mV
bSeBf8HkQOG3pLRP3PB20onqstX/izv5F69FN5YZQxNp7EJ/+uPnKQsKka0O5XW59dQQldNyyeM+
Uaix7r5d/P/XZun/b5Lntp+9ewr+Q/L8nwam7lfcyL8j5Zt7+v3X/q14Ypbhdkw1BdlEv8uX/1Y8
MfguBiFOfN8jvrvppD9MUESEEMT2gWwi8YWriB/9ED0xhAd3Dw74iTCWI2C4T/+G6Inu8A8LXkhC
HJqOc2eAVkAiwblCP92S1PKejbQcr2tIgSfasOBSS3umKGXTcNSPUdtCKx/EQaq4WV9LZXrndlzg
2PQrhAZYeRAcO5kMYrkdeHBSplW7voG95q4L8GjhOvuqmYIk6ModF1N5BIMHR6grggSUBC9TNvVy
18ZdM94vvHtmkP0SB0N/YTdZKEadZ4LTZJ31FHbSlkW60KU6jY3IFq9wDoOj3ziT6N4Bo+wXV4ER
dQU7NiOfHjucx3D2qkhcUl8CgdykIZg7OW0XsutcWmWTdkgWT0xmyl/9rGkqL/EiBmoCgoSI9ZD3
HI3J4A270HZXNITCM/mK7aYGxY1TDCCrSjkf9Gyu0J6xFGLms575xeLOeYnuyzPeJQn4eV7RIQ41
vNoKREhSUwp/2aDDwxVOeOHAz9IDfytmFb0saz0Vuz7sywRoKKi90qCO1uNdKfx7WhM5HjsIl8Nt
hXb7AF0hlX0ZHfpwMfI+GgjTSTkW8ZT4cRHsfXeGeRgW4Zsoxvm4jZjYj7BasrWVN0ttrqKgO8mm
vOqJd6aDs1NmPjltlKkVxAWqVALnBALW11l6d9XAnv9ZPLAKgKHADvLf/RLAjMPrz0vH9196t3RA
e93mKxFs2l6EEuHd0kHgTMcYpRj7AP+x+P9IpCBHiuO0AVMDbcDgpghL2I+lY4sJf3vesX+iSGfB
31k6vjky72qlbenYyjLkWzYoIwAh/8cdZuqsAVVa+tfGBiRd7XScl6DP3Nr3Ex31O+V7Y6KH5SP0
DT8zPPiifXoxsEVk4QaO1RZ356DL8wA3O5EEslhNdALZZMysma6sjkwWMK1SpcbPC5PPZQU7vG3u
RFDv5TKcPN+76zv4xXUPXZVhqcBz613IFlwmd+IPRjCVNtjXgXQVH1ZVfwzBqyYA/yCv2/Y65P61
O0c569UpbvqjCFf/uE6FTkfh0XQq7R7Zltyj3RuWr7tx5uFJghMBUPSZVkvCzPposeAlwoPT6YMN
TaKglZnfFSmxakzjrnyc3fFFwMhMS1EevFHJpDOxTtoSkPEwDRK6o38l2v4ErR96kdZv/YT+2zpq
SNeGXlet7tKZ99d1OHUn2w7gsKqCZ3GrBFAzzVMGWfHKRIpA3B/hjPTB+ka9SVxNQfxlrfDlotsu
bz1QXklp9Cu6fnZZq+YYMgeUldctsDUMvTaVbWGrz7hqUJ4TzQeeitZCjOWoT6fajfbVZDmEOUBy
gY35LeG+u1+7mic9r5qklT785XlWSdX6PCdLUx983za5A3l4X5dbWmNF9iCygF2Ign5dFG7m2oUA
5TfVDup6sQtmv8l1O3j7QfltLv36AsvceR3qayHd47DwNata+ob+NUrquA1yx1R+toxLnbtFvOwF
xJac1CXFF+Gi5tE92w81nO/a6nHPPKi1LdeIX4BtvZNzTPdjF5Y5Avaw5UhRZMCC/MT4vnPboL1K
2hWftLcR5APARDvKnSGtl5kmi+Jd7oCYBQInqhOMp3nPvfJh8czNOBKZlw5dEjV0n1UDNaYqI1Da
PQtOHTN+wt0tZbRuX1HlyZfZhPUHCTw4MSWTh2VEpMqzXCVNId3rkJZAYLu1gIQR4zvWznigM9i3
cg5mQMxj9VW0VYy1Oi7yibfOgQz1bgybvCgkQ7YA2YAW3l0Ci7VNaFCPiVPPNNNd26QR3Mfb1bW3
tR3vorkVUClqmEeN11whYDAcwKC+DXL9DMut3EFjGmH5N/qyAk+Y+ptzpfvoGC1zcRE58bSnhQzu
PGd8rJganIwMowVb5VnXTaqx+zLjXcEggAhc1k1iaNnvnWp5cB1IYbbkUUomdpKtF+XzvLgJm0bs
5mZJOkRSwNPzvJLSgY9ADpXvf5hMPaSoIx7avj7FtbyZY5M6Tnxpwpci9s6jiqanRTSvczRc2MBx
EqmR9KLzOF+MwBcOjEFfr3QloF2SCw+vVnbleZqCtx7sNaCU5pLMxE0mFj+uFNGZql5pMpj2q4mR
pwFuf1T1couI4sUYVsh6lJOfyZaqvahc8MVTGWZ2URCpqxi2Av65NF6XxsYPd8uCS+iiSx8dft/Y
4oWo8bkLsDxQ0k1ZLPS5mt1PVkBDN8JHVMMovnNHF7WMj7xRoPOpNpvfAuypMdOlofPHEf56FjvB
DbMxTVQbyyMNQ/zLgYCjEA2snUGdx5ocgGnKdAqKXU1Uf12xYUlqoPiJY1k2WP1qikgk4VRlSEpE
zygf2jBX0l5Kb/iigvgox/AJdGZ4rFo3qfX6GZkSJCeUPeBDN7vSQ9qjddesieKrssYqw5STeHpO
BXMUBEH34PTRYZn7rIY5mDjVfIuM5EXjGR+CavN5gPUaS//K5d3eCfo9R2IC1zS1jYv/Dz+VtKpS
U41vpopvEMEacgjMx6ENynyMm9QJxC0odwd7wZg2/nIuh+a2ZU7mVuVDg9heGUlYXY3MxrZ6aKoh
BWKsE1mYOGmX9VAgxVNtXpmxUI69FGX8azHKJcE+5ix7Qz1Db6pWNCmP5B2ptM7/qY2+10ZoM/57
bfQ/7aevSv+iOMJv/bs4Ir8RKDVeCJEL59C774sjzDdCRRJhoNlPbRX9DbAIwSltIE8jFC8om37U
RhiN5cYQ+4CXfqub4r9VG32Lk/6uI221ESIHBAXSVqVBqf2pNlJduIpwKcw1afwHAWbJM+G5Dcyt
sChX5g1r4gTLshsc6mWps3ZDn4oNghrsWCSk74DUL1jZEQK5IwEWvrKL3WQOhigxqwvGc6PIGP6W
jFWZN8DgjoxrL+nK5l5vUNYqFU1cZS+dHsBWK2sUERvE5diwyBDlqfNm8hzUZ3N/RUB9xWi5LuNp
lRe15w2JijxwCAWMU2/jxQxaIrohZFGJjWjV8qGUFP3SxpkROGg9DMmCDhyrlIvlKGhfkSd8RBbL
SRovPChga87GrxW9uVw3om0N+WewOHXSh+OSamBvUh9r98LdULjyk/bTgfGDUih0ZtiLSb+xczHW
8Uw2VmTearq8A2IHYbBL7KC/joDvYMjNCSP4QHoqjgaA3uLEXbLI3FkvRrB7NqAvIVg+tUF9bME6
ycD5aa7xGAP8CyaKVLV1r0WkNyhwzF1KcEn8GJQJ5+YYbxAhElZ33oYVMvCFFpyhkRQBiw09rNzS
3XkbjmjiCcZOpMe8K9SQNxu2WIgZvgqhFx6IxmWsggTkSlZTCaDVgBzd8MfeRySUGjTYEUNWDyJ7
n/MNmOQDwaIIhpI7qgYm0+17Up+MiB8Ctn5yN/SyXUQykCGvp5JlyitF0iGjlXSgNWcYToCB+pPv
4rOsIDqZ38ILKFxJbrpgkPe0AMpLtQEHAQ0s0F8qNQO2mJwb3OCfmKpUolEHnkrhPul+utSoNTMH
lUQGbOcVnO7rFC/LzgwW7KOhxQGxr88tHlGU2x74HHThIO/G+9Dj5txScprq+rlb2XntXfSXqtyr
2bno4fcmhgCdHXjhJkoUc6KNuRrqFY/P9FDy4nNfxvQgfQTtaqe9h8wN7dQbP/Z+fBT9wA80hOey
wIRRS9TuqJHHiIcfdEnKE8rtKBH1eo+/OV/0cKyQu1EqH3ik028Zqwlowc5l28WzgDNJVESZWwQf
jaqBba/jmBgj5cl4o4W1jA29XOD8NaZBsW6NeuKk4AdZlvqmjkIUXn6fWbm4Ozq2j9Rb64QPJWIt
Nco8T1W4QJ3Mi6YGh1qJCk/74B1NtZG1dVRm2huPZKXk2FO4WG7R7CO8F8BS/pJgWRwS2pob1D9r
onp5CIb+UDtRVqt1QARygHbSOC6etGBIEcGyyRKUcca4yYbARYgO/4FN9KbmLFFm+uDa+hzq8aT8
5YoF+n6KgV2vpt2XTiES2RZrIoV7NdkRcA3gbpDvN20w3go+P1JhL027PpkiiBOBEQBJq+pHxGRP
gSWHxZiHAQJ/0o+SJKj7/YTBShSmz2Oi1a5dgIh72l4W2r8VEmqlnV244t3JG0eZLGZ8C8LipeLu
NbLIV4hO3/R13Kd0Mp+LIoS7KtanpkRNHfSU5siJvZg2RmcDqjgZvO5BlcHZOp3KpwZ3DezlRTz6
Yx0eKgADIPs3hLRUSHluUOk/W/i3LTz8U3nj+wmj/7mFb7/1YwvHcRAMB39AcMd8OoajM3/XNzBR
BTlwzBxG1RxBlfxd3/Cj3yA24DCgbSAHzvDbpI8fe/jGg+L4c8zjiAPf3QInf0MaBY7/kzSKF95S
JngPGPlBGYEI+94R4EVPkPVS49UKSj+x1fgCVAiuvRjQZ00NwnTNx9AFYr+oAuMdAMuF7mxSLaeb
1qhjzFB5Gix36GB6ZEWqcznWlwArZ2Dz1T3GdHydyCRSR20RZ2duASx6wN36NikIQr+tAV1iycd5
jV6ggT6xni/IA7IAHg7qauasO1j3Tt7PZYmnBzkTDu++AmQQUvnSLerDhPgf2k/TpUUUPep+OEor
Pw7M+VhIFMNRfO371eUkyotBVS9G0TapWHyDdOyXhnGat/hg8A6qaO95IOlc9QzddMkDhGTxZxeR
9s18oGz+sHidzvkw74JgBTRW+zPidtADhEO/gjIKM9pEF2ZoHsDFiJTyMA8FvVMV+9obdlOFFtRi
DyyVbFx/Mc8Y9zA9ESG/FIN6Lnrv2ij5BQoUgy6jeT6iaT+YuL3hHTtUpUnAur003jDlXUO7bI5E
k8yd+jK77FI4wNhaBBOTzvPXbAlatqv6SafMjS9AsJz6oLiQHGBO1endouYd0fOJM3bgXni3rNNb
FdSvcasf/IrvC399avnaZiTGm8RFYkSHyTyDfvRIDSLJ9tFtNJnLktm3BhZfVjhkrwCsp6OuEUsk
3seAh3fBAKqSVuIh4N4bmo7puFTbr4fjuAv88alFe29U2SVRGO2QREcHNg71PoqaZxXUYud145VX
bhSCQJ8DBClMSOAk0Sp2JEZRiIE1+34o1YbjTAly7EsOQWVOPTC+Y7C1jivdIQRj9oXpzlUB9Wlt
BfiJuliScF7v4ibczzLcjX0AdnTFVBQkXjUcMetCoDOIYIy448J4dpApx028GFzD1usQ39TrveIa
ryrpjhfTDhMR7lfqn6pZ+EnsNTIxiOFkHDUruC3xZVD2CUHFIYmj7jNxwRNLVSB+hHpsJtUh6rWT
Kqc8EOnUmRMLmRKi9hE0I8Syx9QQhx2GcgbHM9FXRKQuqMV0ls6Ak0GIHHs/kCNvBDPGW/tB9eGp
8DSyAkh3J5E/fDYj61Ki3SgJ1m69aW3knQMpZGZDn/Fj44GnzoSYP4LW0lOuHVNWj/gaiuHaGzYs
K6pCfxcVLZEP6CVBxQZDBzePaUSYU5e28Y1TlFV0s/RVeeP3lj9DBMlNg1soCcqguOqgDQH7Gzeg
MSEhP5Qx4/dlT5yUs9Deoog+Fbyv/BwJLj9MYBuvmaWR6Y9jTArofZUd4MUQH4F1s/ipOze3gAts
vye17z2JGRzDZSO7EetMU7qZjeIvhI/AeUW06HbdBg+wNS+QLUMmp/Ji/kAw6ME8e4Cfiqz0V6/M
etJGxYsIqzK4JJ5uUdgjEdel/2yX37ZLAsf8v3e8GAAymk//uV1uv/Vju8SpaDELCYIJmLsEmQ4b
3zs7AE0mARyBVvObJ/jDDvDZb3AQ8SO0oyEGtm8jf39sl/Q3zO6JYEEiR7y1w+xvbZdbMPNnO4C4
OL8eruQ2Q5puP39n0du54AjXF8G1WLt4Oa6Rav3PU+kPxTWC237bQt53PJAumzIzlvdLwINEwHxC
6G4kiVtEFWjJXuQjG4LMhC05kFlAqbM+9PhJfXKXlaeQ2D6tPUix1segJRCp56blyM0X9U3dI63M
iyHvWhMkE0Vimi4rVEIGH0GMboGhImJKZqed8lIPDfDf4QyfnyVuXH2c3Oi28kFSN61Olc3ktO6r
fkCqi7SAr2t1u6LQVZE6Ij4GvLJRSGwMgEsZMtzQD9dPrNa3UdSTwwjtEhWud+ORobkcg1XtMCZB
Zl7RKEwo6d/8gn8a63EAARnnw/KKyGOYLXj4JsfnWQNA2HrBx05y9ELIYh4Cg7k02kcqU3RumfgK
MVXQ2Dp1J3v216rOPb2+jrTYjWo6u2zeuzGMyU7tjW9yjUEq0HMnaKdID4Buex0gZokZBT0jCbwZ
5EgQ8AgxXmXkBbzDeEgnCGJ0U8aapjtgZ8itqh8aSGfDIG87Tc4lJDXkspHuD9vbCZd03FQ3Yist
94Pj0h2NupMbtp+lKdEXx8UFVN0LzNqQaQBFOzoBVNG3roXi/1Lrhnu58RWXt846LN2+daGycSLI
E7xQppJoEl88LLO2xEZeeeMXZspd7DEOuhE/rsb5FVq/SWtjWdIifjAs5VUgC5ojd7vssBW+zQ6k
vZouzyj7HobV3rqT+4KJTCfkQJ6rqWZpFBo/j3nwtfLsaSZ8eWnKXiTwxTEDCUQunbCrhQRNVqhv
MYjgEGvqXGAy0MNS4WPBwIZiwul1YYGh0nJF0xJmYwnaORQRywdsWYc1fnNrFWCsxvA4DZipgEyI
lzWY8SE48/ehU2FkD4YfdW6YaUwfQ3VYfuGiX9NmXNYdnSHj1Avfe455rmZ1UHhsUkklWMsFnX5s
VvSyQFdczA+wc1Cgo3dulsJ50gM5RR2Y6NqrP4RFyTEhxYuhZaCTxMglTAQ4NLGIoREAD0V2LgGr
gvkUFCR1JN5MiUBDG3yaDCT+Bl2sWOor9PbnzochjjDsWWLYTOL5/pTWaAF1WZXY06Z531sMEgDE
6iYew9R7wMormPu2CY/E8Gdf+N396kRg+EqKMUte+CF2ynsLYYqw+akvg+rYley4WgQiOO3OhTJP
EdwEjCe7dxDrKH167TBzW5LotQvWq7bd+Hzcm2u0rFnnyjHDrKa7aYIaj/EWfKz2ui5ZLiyTCZ6e
6MVM5lh69XhXUBCgQHh3cLzOEUrDf8Tcfw0LQGP0Z1ubHL5Nxcbpkr/Y4PC77za40MdRQnCaXcw0
p+/6we1MsQCd3b/E2c3U/oHKUBw6uDFtoYcjgsFRvtvgYhwNDGcDfMt3vffvbXCbf//TBsc2VRd/
E5QrcB68v/cbHGvjlUlIRtfNVGFWVqp7RU4NQicnCWsZ2aao/bDUHPKndS6oRPi2DlvsNzU4a+lg
hxvqB8uHs6D2fiL2Yikgf3ZlxBKM0cA8lGo9sWp4nNvlKm79Y1hFyOoWKumpQajV4vEdo9S2/bFa
ETZuUTViy2UItzO7xzyBN5/yIZ2/ERuVWFLM3PByvTHtKw12Y11TrLxb42jK5yWCMmKaYMnh+aCb
0d1DEEHbCkbHQ7Cep363knSZhyTg/YSWtvjYMBfhuAharQEXWc2fo1EkddG36HrjL9BjqnSKqqeo
tyaJ4ujoW4r1A5YkBjc9RTzY07hbt0zersSalPimPaDvCREJoAdjQRktwYT2dbKf0XV+bgd7TRTi
foj8P4Nyr9I2EHsh7BFGKJIYdtYYywgTifLuKycBLDZXPnUqRHZ889/QLr1GhbdeGbF8qrqwOKNw
wOS40GsTWIy5I6l758GHzwLMHUurbUKNwuaxn2dxdsN+QjYYQxrgZelhh/l36RrE1cbdq12z+CRt
MIYspyUiypytKhk9aS6Rp7SZwKKNtFPVZUUDnHMAogEBU5SwwDEbbSFVkUtiqjPi8c0evfNw74XT
+ghpvkTaFPOEBDqDSwiX8W6dhXhWGiIajMPoCenL9s5ot78pEV04Ulfbi54hYDotjTph3o+GpxsE
9UUxy24bd2UR7FrBg68tKT5bhDMp5rM4/VF65FYo5uZlOXcfyIIvfl9QL3pxasbfAopYfbtRSfOw
jLkAqLS08ALQT43JtFFMRmOQFLCmASusBebUA3cywJ7Ixj85/XilNyKq2NiomCCcM268VLyRUwEQ
qmBjqfqWIAq40VXArDAnjSPEBK1CbgxWtNFYayDcTG2EVryxWuobtgXVBMmYjeMC0aU2tgtW//TI
MG3tGKHCTsqNAXMoaDDEGN7sxoe1XY1eCcTYP33K9z4FTtV/X8yz1+b/XOGWf/3FSo5f/PdK7v+G
hx4zXGCxfeMe37UqOMwANw+6GGTA0ZpgEf1BLnk4loSgjfk2N5t4Pnqff7UqOKDIp3DTsJJHPnaB
vwc9Yov5wzoeUADEGxdPoSwGoO//uI4PxVibZpXejYRRTUR1EXMEv6Ylf/fN3Hw3+94Hyr1vHc/v
JiA+CWb5b1uW6zOMScUoxT++EAYoCnAbYr4JQ5RjA+Z1BXm4jqe2wkAj5XGB4XEx3OhBXbNlvOhF
9yH2NMaLwURJZ4whzIV2xXnSIcvwDGGW6DIgHxR2oA5m/TSbrktbWqJi34Cj0jT3HV4w9brmBmQ+
6psYOXLae4jkYewWckrtBrPQc9/alAG1SiUmXGUsjADpCLkrommHwcNDNq5Y642wqCeDjw6NEc4a
WYKP+YScnEox2uUeoyXunNZeOQ5CRxVB8GeGgY/xu0cM5Lqai5ZjDXE/oGZroOpNU+ZtFeE4DbeY
67Wbg/Ejo/rV4/ELb5dnvQ1YEWOMdmOpbkJdnJE+q3ZxHB4iVui9KTWukNYfVMQPFQ142pTlGYDb
Z8ThxW5qSYdlYwGxomyXOeNGzWDExc4d1he3bbfVu74OKBbmpcHEvs7P+ki8jLH7QRt+qWw7Jspd
7uJ+3KOaOGCmigM0C8MW58BHwhDzUtPSC++dpWvSduhpGrMXNmC2iW+zsccuZcZAJLghEJf0Y1w/
BETj8Y0uwGBJFF4604h6V4IM69E1uvFy5c2Y+LagTZ1Lt9oJt7nBgLV65/vzfm2DS2S6OALuwZ5B
IgbjI1AgR+GEAD97QQlygIFxp+S6ZP5qHpE4XVOOYVuJPzT3Zh6PbiimTPvkC8Eg6oTPy2NTVeHe
+uu1Z+GAmbKeMBdMf3Ub76uHfG4qrHtQDTvCInfRGs57IHS3LSanWkx1voj9VaZRI7+sdfdUxtC1
2kg9oCmrs6CPxWEeEUWNIS/6xQ6EDMZ+4RaDKxfMJWaOlf0niTiv3q3UQSA4jKxOXGKRh04WT2PQ
XDAj6wU5bOfSecNhtD01TQhLaHFTUmCiSOB/nQk7Iue7m1al4WRB1nwUob9BO7NL1iSstl7LuhXC
6d7RR6jLBf82bONzaP8J0sKdK5xXynCZerQLCncjMK0J9ZgZYAHOmZqFe3TaEMDZPF1QjU4dKSP8
XeiNk5mqDSien6M6Nrnl3SWvSIGghoWcsc3ZQ7ysFtk0mMM8D08YI4vhJ6xOp5pgHKG6FBEeWV+K
GzQ458ZxjmsDvq7kZZmvdgEJichfNGM4bD3XPiaruXcYfLm3angVEB1SOwJairqnWefw6Y9loP8v
e+e1HLmxdelXmReAAgkk3G0VypIsFr25QZBsEt57PP18YJ+WSHarFZr4L2ZiTsiEFBKJMkDmzr3X
+hYERGULhuFpiNTHyaAVbyVQ78bkMZFXXV8jH2v3Re4vEkYCEcgGbQ3KhtkBVAVwt70ut52mrytB
izicim6jW1GzVgUCRr+Tj5kUUCjznu51VS1kX2xakZ3THH+ocrrY4ShvwXfbZ4UCaPV6Lo98W1be
NtdSvDL/sIx+HsPMqyjbheRUPhM+VEGb6lPZXde1LnEujsd+XFoLufH2w1V+toswjT9ld8Uq3jEX
X3gnHIxbN9rou99ff1ZqfF7Eubxjse+gJp0z8D5fvvJao1PMdjp21lPh7Ry1WTjDo5Kni39/HQgf
yHoxoUg6dZ+v4zTsWSG8w6MIT2GNL5LklfYzGvF/uM7n3e/7x8nnyR6ITc9idv/5OiXsJqMVgXo0
jZPKxOcEzUfe/f69yF99Zx/fzJeLtIGq1lo8f2jr+pbh/6rbqt9sd1ZXnKXcY4vLaoUEdq1tbw62
mywO3Vm4vq1X3uoi2veLLcX9aePyP7r5mr9Wt79/fdpn18P3D2G2O5CShkMO3P/nDyGB2UyHSRVH
dMIH70JdqWfizt8zIQF34I6L/YPYDMtDue63hrFMT+i5XSCgXPeL5L8N7/90BfjM/76QXCX/y80r
ZF6/KCT5wR+FJHNgnC4IqXTJzvm5JSD+AFmtYjTVCN+g0PyzkKTnTQ0pqTwxV1JGzp3yv3rerCdM
cw2EOzho/h1CELUZ98lfiwMyL3LtcYISmIhuhg7Fl/uo9L3BUESHzEvmt/2s8+gQfCiUvgsrqqsj
RHHUIGyW94YsmqVjYBBvLAXSR4oEvVa6bD/5SNcJUKjY6uQdrDCLKZzN8R0f3HqSqL3Tmf1LUYT1
Ubb5qvScblnO+pUIIQvMZNoEgx3QHrBuHMQu7CrZ2pwQMFkIYXgW/G2FNKYJhzuvp9PWRcVVlQcI
jJTQ2QrVf8E5fD3o6glS5kOuBpzYZu2NWkViPRoCqDjCnARyxDgrdXIkO2DmHrxG2zdmUcNkbq9U
4Atrv4R33fboPNB3P5u0HrbNrAaq4D+vnXx4NXPzlQl+5KJwbt0aEZEz6PeYE7M9tJQcu4r9pHXB
RTArj3iZL06WnscGYli9s5ZKgGP2dqD7uWLp2cTCyzdGYT4hWF37OcJODyTaZKSvZiJWAz0MkSfF
RirBN6vqLxkK+1v6CPAjOgMAcz9NbhQq5qpVhnMrgDwU+tpt6Nlnne4hrdMEw1Nh53i0e2TmWbxJ
un6nm80jxGE85npTb1oaM9Mk+xNbHW/tBD31cag5DBe46ZHjsiU6p4FSvE1tYCBG6aJVHbUguoeZ
WTolwyYNATmWIZ7GohyDCz3WbpCmogqCI77V7GAx+bH+MKnW7Hh1nPa6NRP/QAu+2E9qWsGPVeJt
YeSrPlIvBQA7igwbSSAkw0Wshrcz4RCVdWsvdAWqmu6DeCnMYnCNHBSVouRHP/K8hVnTUDbVa1jz
aBMjtHQtB6PE3Ms24yOmQeRFw11hhN8sPT31lAg5kACh01dNurCU9kmmNRw7qT9A+XikvDYWwrc2
oyNz+lvRVlPhI1p57Q7ttFY0mEDz+BnchjtEFnq++NT0LDIKSAshG+EqnbI3daaJdK1tMgEfESzH
YLQ7JXoRpnJvaAing+EyCZrTsVOuwWY+NmyXHBIcJEbKSTlUB1X3boYsOhn7lG/L0279lBZ+UHnX
sPFPmohPqNB8udYL6tYYk3SmyQfP6m9MVYAXYjqNvIuS2grV51o6l30VHXwUApo3KyGt7rwX8lIf
eS+pF15UtdjhAlwiWNn7aBBbsz8pFOPZH5vb+bjiZwZmDOM8CKetXkE6UhGNxfV4b7S2vQEXli7i
kKEMy1yx8EuFLt2sGPfguy+7sLqv6nSvO91ZrGu7QJ1u2wx3QwddbFnq/a6ojDm1YfZ5KMklZohn
YgBQTsdJtZhMezMDg1fIm+0Veop6Re8yXTPw3U4S3EQEjQwKd7EcalRqGm6PecVllRL5KpbdMW85
gWh49tYtpBdfRZ8nmIGofASsSRf6aJ5FrfNimAymCsu80Ux5pssyWuot4v1uLOhrzUtcFUxu56tX
mpPBOghgXBZ1ihQg3yPpSbYpYEiRNIA+ceHCDBnu2sm/Eqp8tlLGUL5mn2Ee9Da+ryhrzu+XwsI/
U/qxgJ9tPWugRlYiS+yFNIvVqINRT0NNzgOfdYxAvGom7yoqQR6ElbjOwi5btEz9XopAOZiAoFeY
3i77MLzrg+68AlQBaeZtogReNbBPcV6oOGHKggCY2lAYGNZTepdiMfLPJg1ZTmN2+YoG9olhV9fO
LDurZgEaERqP+RQ6q0J2OhbJ6d7rEKBZXQ0MTimXU1sdZZgcApRtOgq3AaWbmCVvelbtk0lbxb4E
m9MYFyjczloHRr45C+YilHM2CjpVoUVZzaI6o/cQg0zttY7eLvToS6O/i2YhXmzas+tgundmjV45
3qYGZJ4+OnI/8CGg5ktR9U0Grcxm9vB0agbLAunf4IDAQAsozHpPpMOJVIebTKPfjGbQRDtYODKj
/cpTPcsKrcTkWDZLDR2TTl44yw8zFYkia6zbh8U2Q6FYzVJFC82iH5mgO2YZIwIq8Jrv0sYi2k2z
2FGJwa+/yx9nISQ+L22HOyN0nVkmmc+CyVhFwYGrUSz8gTbBLKt8L0b+f3c0I5mjQvn7qmyNpSP7
VUnGT/1Zktl/gPYwSH+3kA6oMyXxTxkCVGcGb1RdJvK89witH1Ma6w/+HaWBeG/fvVdrP0oyA68z
Sm/LsDQaZpik/40MwfpZhuAw7nEQ/1tASDA6fjkuximeraHxrANj2L3flF121vTaaC6jtCsKIhPC
dtrYPUQ9kHP+cAuVBptu7mSYfpooeBj0+orMh9ENanhQfdNu6G+7nMPpTKiZRlM6MRe5Ez1jAYXS
mBnhalRqQO/g2PFlNvRJlAcCBi5xId71bS7iiwYb4BUOsa2DwCezPMwoPMm+GiqH2MtsOHxdieNN
8R/GogmO3rtcKEhG62hkNs0WyaheX5jv4iLjXWhkEjyy9lin+lX9LkUq32VJLRsxoS6IleJ32VId
5+jjomhkC67OSKjY961xafhyxEaT3apTcv2uBkNp9qLNUGkzaBm9YOyumoj1TH8OZlJ/pciD2Wpw
oodbOI/GUqcgVDrFVVKWAH9mKcuiEK4NzAj6jCVXQgZ3oHtt+kQxdFvjKrb78ygiO2tUwm+aY12n
rXxVZRSu6pQPxbCbC0uP2ftgGW97fv9C84v4cdR99sk+3KoTPZpybrWliX1dJkJb54i0mBg0ymKI
tG3QEN/RdZWb9uFOD3Qcz2kA07iyJvTkcbYCgkigiDru9UK78LQ2XSIcZ+QgtW0e02hC3tUvnXHQ
dmMnaBK26jc1d1y7rcGMeIYHp7jepJnz5Af5ielYJ7WOACO0MZTpk3NlefiqHIIRBk/5ZjhoM9Vh
V3jFwa+w3mEpdYtqMrdpNg9QvOKtyenMmGjiFq2SvvToBZnjZPfc0g2T8s7amnPpz+11IQWEq8bO
D40RKdSN3pHImAvof3QmA3HpFQCrWnbUhTpUxhKTKORHNt3AyO/bSAMu4Tf7hm+wqds1lvJwMxhy
Yh8p89WUyV3ajedDadyJujk4TXgdNcRVhWp9m/rB5Zwg4RZquxG+qexYtPVFF1SXo+Vd44m7mMqW
R0Qw7MLujs41DGE1Vd6x9abtmHgKQ0DlpSqVwFVlEW9Gg01qEk6y7FsGfr5RMxRUpUtgxrTPASFG
ZJ6sc9uYyaiZvky7pMHD2Z+C+v6GNX8fIn1D8xOemVHBrFC1TjCzi43qEIIwogISPACuFNFTpRb9
enSac6eS950SwJfkzlpEY2rCQdTf0hGGZFzkl+1ULJvWQv2C2d6y5myhLMdlGHc3Wj9lW0Vyd3pz
SVcn4WsyahObo3Vv9MaVRg9z1+UxXedK23FM1F3dtk+DDk+tiRB9qaZSrvsyOg990zWV+DJNuoMf
cG/3gYWXJ4pXYeocIUqVazPhPNEXPZ1paHeLMjOve8HkVa3UN0+Tj2j7XlTd2JW9zj7vo/f0FO1V
1sptHSE+TdP0Nu0bbaU57dU4NmITmulDPsoTAGUjXC7UIWAULDmYF3pkFxYyJHUECls+6z3sA82A
7zZbZVqjPDOVoVlNMaerbnqudO2hhCuzdVREJgXy4AktpWs3AczvCk8scLZsAbThBbV9vVOt5irI
GkxzhZpsCUcbF60FjQq382NhyqsmJdClJ8ZhTSRZ7xLVErlRUWSYL9RD1yLRp6v72k2j42YGlWWk
dW7n5dY2jjNn2Slw+py2ROOjcmLD+vpCaz1dilrqWxVQ3iEcDGh7dTkw8kC0qGvlZZ9RwIw28HlB
mEgcZgPfU4i/RB/d0IhGd4yC4iy1+t2Yeo9pNqAtA1K5QoUHuUznbi2q6MW0Mk5hM3XOyLy1L/Vx
a2ZVucsLuY4h1bsB2KC1DdxlwXo4bbKofKxsEJKVgm3R2+SU7BeBQlyTge4ZT0OvLhghOOtBydA3
4RW7MDOtWFul2JEFdMo8Hbx+Gtkbzsl4oLDhL71uHPdB236Lsf6sg6LR91qhzzw1OObx4GfbIMum
m6lP+W76UVkbBAksFIr7hU/kzsJouh0ZMnTfhY2gyCDGJHH2njOdKCGaZltwvvFAHJP94eKTv7IV
yzydak56QQu2n/r/WLTBdaYxeIgJF1pjLwoXbaBUy0hvXswStUMKBmUz2AywRoEcAcvLsBBJcGxC
5m3epLpxHnabophOEAaeYppyETcdO0bkKz0qVTRyHLdDqzo4RvRik7SQ1B4NCcT0C5OQSxxnBg4V
e1wxNKbtPJXMl9T+VrTxUx4rx6QKr8DK5UtCBU24Z8h6K1m8Juiu/FSV60aXqAZDya/EdO32ifpQ
kH2FEDk8eA44ZlzgnduXMJlzLz7JbFSI0RD5t2WQYHTyHkwOUwuNR5dorTdc6g+Gjg46aA7F+zSk
SV88Q3NWpDrFZDElt20O/jEPmXVoinIxqYXqKkl4JpAkYIyKTxLkFEvJnmooHQuYEK+DXWNK9U5t
b0w3ajjukcs5bhkrC2g+d0jZD0Omka0wpimOLADLXrUva3FiJOk3pbDf+oHjo0kHhaS4rVdHrwz/
1nWbN5uaFKq64L/2uXIL0piIupM04qzSWkDx4yenjZ4DAsiKDrVKVFk7OAPzXWP7y9qs9lMN95UM
LMz9nNQjWj/DxP0coqdea5p81VWMPYxBr8LI539mAe9SDLRVIhZSzenH8NhtqNweqcB24QAmhkqH
mZW5n4w8XbZFeG6W9sJz+juh88uLIUfhAjuPrtVGT5sX6eN+szykdgDqVfT/cxEjdDY8J/M3QAsR
kdj6gcnSTdXj1ChqNQQRVh6L0DmFFsMU1SwvWwUNoRUZgqlgusGszLl0xkGKPiVRtbAX6Cz8NYQF
ej8TAz6yPa7SruSt2RnCUerOhZ2EKEj0uXqodpYe7PsxeguEEa793j4fRbTJp03tYFO0N9WYuWI4
tZX4Okg6Rr6SPEDG4Jso6rAmQnOFPPOs2/3a7P1n2wQ+rEE5Uzw14Msqn3DPzSFVPXFKhdpVJzw+
4Ftpq3F+uxWFRaYBKpi6Wtlb3U+2GliHroldz9aLi8ysUjxsWWiSKiANodwFXZ6rS0yLdbVn5ten
9L36zu7Ac3fKeDHy7WSqESqu9Jge+ZPVhyShxfscA+FiiAmM48y5mRyIv1WurBUrQr4bK/06lAjf
07h1vS6/xzg9rTK7Kzn/+4K8p4jsy+yqlyaqVB1jfVTdyRDET0rhpXjQqzHh7AJLPoH4OQ4z3zqY
SddBCPOauqtexjEcbKOHiK3QGGE7gaETq2xsNVsa39/83VGbtw6yUSc4LSshFwm47aGxDh34bQcM
96zrWmSAuYUzurUjTyEUUd3kxTN7CzAPYN4xUO96pns3rfo6zbzvaSZ/j529lV17JMgFXtEcTslR
YkFd07uml32r+nSrzyRxmBbTugQuLkvSI+OOYB+o48DW+y3r7qkDkNyC1rxEYFlv244neqaW1+/8
8plkXoM0r2a2OUiNTTHTzh0RP8YlWOLgPC7QWxnjoh/QhlWY3Ry7OygIb2hRNuepEX0DS8LIRJBc
A2c999WD4YzrBP661M5NWnUkarnVzGbvgLSTSLhrgLY3VnMD5poxITh3cqEwB1wxFV1S9x5GoO9h
AXtopsDr4OCnmQsfAYjnBd4E89HeohZcBTNFnlXhUc5c+XQCJ52Dmh9m5nz9Tp9Pp7O+g0dfAqYv
OpW5ZXzR99lTPJPru7rhTnAeEpD2IZTrdGbc//dA/12vw/n27w/0m+Q1y34xYuGHfpznNfGHbSBm
/E4Tez+Z/3me1/7Aeif5E8GMxgzm44iFghZh8I8Zy19aHaYvuq1BJuNvTBgZ2v6b8zyuva8jFnh5
zGr4nbYt5fzrPo1/CXOztKG1nXMtrcBTGGIqUDvOUnFdyQJtZQSEhT3Ss6wuUEsiLE9njfmE2NyM
nNMqc2K2i/g5ptE4Uix0WuOvRynpLBU6DGhk9RO2OL1ctZ1zwTH1bY4bWyLtZjvUNgq0Cb8OOatg
poFCYUOjGAplq4TJs1GBP7Gi/NSP+ot4BliYTeVy3ttaqkZkAP4mHdYFEBRyHKFfoEk6aFRAoYYK
E+464Hh13I4C2WOmiOcoBfqDJXlX2dZ9AV1jqvoX1sMzhP6JMXNczAcHF3kzQzlo+r9Wow2SN2Kr
RsTJagjCY6I5iiQAenQntiWUj27GffQz+CPWlQpnBDAQVbd5tyhS3Tqf7ugYnBHjTDDtDBKpZqSI
hkEskAB79NZfVzN2RFS+tYogkeCBOmFG1bmlBFICbe0hhVqCuJSqPz8nTA99UuoZ63RGnIB02vUz
9MQJIWgI1BWu2ssOJAlwlGKWaXL2TZewrJBPjBepEe9qUqUWyLG/jWlnL9QZt0IwLMMVFAm6Pz5h
FcEQLsRboyl7AasFkeJpNMNbvBnj0r0DXWa0Sz5DXsYZ9zLAfZngv6RK1t/zfZ40xuOUkpcX1iB5
E7gh0R6b91U/g2RAl0e1iwihDE7BTbZsY2Hs+wti9vKADJsmdsrD4BvWLqltyYrfBZvQtpGk4EJx
zjTU63srzokIYe3b8bkU6koCGd7AY3SuPBAqzjIZxcAIJKcd0BEssKF9LxMMdYO/EWMeMLfLKu3U
SpL2zs5News4Qb3/73L4vhzqv5UvXj1l/2tdPWUvYf3yizbn/MN/LovaHzMUETqjQYT2bI76q82p
Izm3SLRgUTI/T55xNNO8QvL310/9aHNaf5gkNOPBQg0Iyxtgyb8wJ/+0KHJ5CeGEP/il8xj706Jo
JDR6I6+azqfmrrS9RYvj/8M+8Qv14vwb/ppsMxXmt4JZmKmQuMRUOb+CD26uqfCYE+IXAe4GJEQl
2xXPpPGt67a/v87nd/LzdeYJ+4fr5Iooygph17lRdCwzZNB9+/0FtM8z+p+vMGtBPlzBF+SstRhQ
kL6RQipvLOctR5ntKBSFhItq6rLuHop224bHBr+zCF8jSJX+UcsvwGL4fbFoyhOTmTFYK7DDF210
1aeBOzjpP3wUYt7KfveZ03X/+Er1EJ5kX82fhb7yaCSUxV3LADAX8rwnKsEDwxCObxb9pZJ/5Kjw
XYvyt0znd+3P1xfA2d+gfY9kHiHS5xeQ2b5oOtUaz5lVh2Ip2HhOY2i5zXIsCMaYRaOwJ2FX7isU
SkbbX4qE43pP9NiyUyFVVnMbDXOySgaBr+57p2mrTZLea6m+Z0JF0aopkbgZYI9s9NiJOO3ZzYLI
31VlEszW4gPvyNFtRrR04KKmcywFqxSfYF4qDFUJQh2cY6odYb+tvRbcBJSW+rr27TOkj2xeHAUg
1Wkcfkl4XloTbUEOKLFxnRdl6ZrQ6aaSxiGnjpa8EEslI7XYjuV9HZHVomCL7rMT0ciLKDqLhnTT
oU24SY2EUgHVXI5vTJqujIxFNGPwjNCXrgxL21VtKHR5nDw0CiqhdKoWjuHhOfT/Ey72t9+Q/llY
9c4V+vjgyy+PSx867FJDPZ2rG33r7abT5k7fkMxxXi/EabMtl5wDXWc5rvXlvtoz5nWHB2UXr5uN
ujHRWEXfc1L/9gXND8/XO+bjMvGFMizZpPDGc8vm8Q4cYUZLr16U61L9h+VovvV/d50vCx6zCSST
AddRAI9cD99Kf4n3G+uc6f3DQyA+f8Tf14uPD8EX1bbD66p0J9TOA30ZHUmJgfRSEeVQr/AI+uf0
7X6/QP1qBcTuBOTTdvDNOl++0tRMB6IMde2cAoyOwzPEnd9f4FcL4McLfPnsOP6Tce5rUBQ6tzVi
DLDLeoj/4V3800W+rLLO4JgTkZPaudOdTCXKoGsMJb9/H7/akj6+jy/L48heXVWpoZ1rPNsDFijV
vHSig4Ng6f1C/9PT378N/50v9H9nru98s//9aRFjMiTKb83PB8b55/6sjPQ/5gHv7Bw3Z2qL9qEy
krjNDWEw+sTIB5v2zwMjDo4ZyIYRXUfairWU++eHuQOSmyo0Sdn0Y2z8Lyqjz/chQjxbe3+OBBhu
wHBf1cJNC03Qyo3+2Kp7H0/eeJnXmw8fyvH7qvPR2PHdIfJpNUJ3yGCKTEJDM1HSfln1BLKLKIrr
4qj3bInwR4wa5XSga5l+DFToWLPOf4gvpjw07QO5VtY9BygtvrBVY1wGajpoGLYKHsN8VwZEYnvJ
ytTD1RQK5iWTvhzH5OgZipvkym6sHTCJ+VWjIiIfA7GaSutyCOstHGnMbOmwBp4hXEOWe6KzzxU7
fk7G+EkBZNoWxQ6g4z3bOd3OMCBrr17ZWkIiSg17fqjeqtYi4jzs3YQD3SYsCbdX0HAviFzflh0t
uNaKbsBtlXq95O3d+6a6I+ocl50o9uWQvSa1E6BTkmjW0levADVnpwX4OHUAv1pXa1zRp15j9a6d
zVqVXuPsaqnPQ53tdamkzP6y6074QDm0m2rg8KOFzV2cjjW4+v6lNuV+lFW2LqPiLAuG3nVKS8d+
6BlLL6+uqhCkqSUBrPmjfpb6qCibWr9IepzhU9feK5GOjY4MeNobYE+15g1uFMOpUMsXVpnjAJIn
Vl9JBDpESSVxGW1Nla2d0YpP/k6brcJCQ/DU2TEj7ulOkD+n83Uu8la5NHo2o1SDapM6pK3a8QOB
WGR29cXOwet5SJpeLFHo7WH/QMkTpVwI2z/1mxc9ytcOZs4w7bWlHEoa2El2501Agr3SZh7nE3Zk
t5XbdNZmsoyXIkSX1Y/EQ1nyxa4pP+0ofIMtwghEEjdYNs418ss3GfZLtQxfw5IZqqijbaBBmBNY
MXM/PXZa/SyiSF1Wkqk5lp9dEsYMTLtmHdqzdlNHyS/rpl9JgtaWRtYe0RzddH4LUTVpMFsH1Tza
v/KHpnRzIs6WmYeyTAK+7GgQTPPh1bGjKw0bOGotOsZOdxerNDTD0XyLIufREPGcHov3QB9iYl+9
ID7LSCFc+lFYLFlXbvyxvMqkUQCa08/9xLLcIA96blaCCcmjQoxaEvvb83lY1vQQmx4+FNobXZS9
SljO665Sb2I/oY1LIO2gzIx3v2G8p7w1iv0AkBe5URwsLV0g2hjewScWrApt1ehjvCveHQy9rEpv
W/BpOFihymvD7yciy2LucieJb2KSFXbGNERHU++vy1LjiF68pmhvw7hIyHQuvommZGrPDA/1FsPG
uIc0UYXRnZQNNFSP2EjzNnNWw2YMyIJMc9r5inJZtZEzN2KSEuBPCrahI0xasQjOqihLlnViGBSw
4Eb1AneIfiahZNCqUmhT1UtSuNQ5uvhQ59Z9YBuvoTqUC5a1EtGAWKdJAdB6PKHb96SQidU3IbnQ
7YPfSqiwk35ZZWIFRvIyF/quF8olbFrXVPxbLTYfattA+KKeOL1/xFJwHNPgbKqb9cT8H5raN3rZ
CS37yI3rJl6BXF3G8CmtugJExxC0KrqDNUftlZCZdJS3iEigYDlMMSJbYZStnI9NdZuGTrzytPq1
hpGnlcOdUr8aLXdiZ1prXcJ6XnpwBpDCej09vqgdwV+p3WjdWn43bMqy0paRT6i1YRdNcYh1/T7N
JYHJE6C5LvOx7UasW4RRygJaEbDvTTPm1dJOaFvZenobl/UaIOZ93ye35Bw8oLHVL9TWmI5seOW6
SsqnUhO7oNK/DZ59Xk6Q8iBlzbRfFNqMRF3QUvZSiZJwnRLWdC1Tezzz0+Aq9P1nxBjKside9aSi
j04vrsG4kjGGl03wkGl8i31wHYZ55Dq6sm+7+h7k1sQUVk/X3mxGKnh9UITZe5ZOzBrQKonp1m1B
iFZjK9cErTHMHp1+5VcA+njK6zvPqVuARFa65Wm23TJpXGlyiO9E028Y3JFeluYjqCc1oBkGCsVv
EDQwoTS2PY7vLa2+Ixbsy1oGc+9+E3Vz/07xoEMisZlMcU0n8r4Sw5VvVOYOo+B97vRknvuTd/j9
tvvTUUNT8WeB4jNpBVuG+kXYZSZtgQWzbI+5DXRJnEf2tcmrNmimRv9kYPlcRVCmaDTCCZgS+FTJ
tbHmmv1Dz6Cu86HR+ro/2h5YpNtyXAfK7e/fzj9dYv7vHy4B6SZJ+jbpjwUPJphSghQfZXH1f3AR
hz48scrUWO+9kQ8XqQMc81HW90e9ui7z00EBnrj7/SV+/lr4qD5c4svpomHA7Qs59EdpX6Xlekrh
7/TnmfUUjf9wpZ/OgPOX8uFK8yv58GYSQHKpSWz7sRynhchQ8mj7NmWutOpS8GXTP5xofjpucDlC
qglbAVEIPOnLcaPxo2GqGtHTIL4XDapd89oPTsb0/v3z+58+bPy/Fp4zO/U+3Eg/hefs0uK1Cp+S
X5w1+LkfZw3BgWJ2/SEBfx9A8Rz+GE4Jky4snVkWgzm0+4ORXOeAohMkTvHPD36OwND+MOlv0Txl
sPXdmf4vzhqIVz+1JaCNEOMEeATllUYzGEP751vSCkhAHZRyPBt0BJBrEcPoOiss7Nhv6jRlBqUW
QF52dx2x2rTNTUByGeVyxApmyvjS0xgh2yjMt5XoLBB2pvbiw1FY5o73hPf7Kvbi9DjG+H/LydTW
uiFIB5VqfZab5ltQ2Oy4KUgLkZGegDIIflEdVqCGelqdqTBOJ8a4xOQlDeU+EqpxOZgISqPIrw4F
nWp2E+cUWV98gmo7c+uiH9e4zeeWZ4yDBV/1Ehs3QkVEtQfZjXv4b6d23ngnaUg2aKw4DJyZvdnU
1ib5DzCv14NjIbxq2IZLajzySS0SdQd2xNJusflK5SFh9S7MIdtbQXstzECl2EE+gEyhgHg3Kocq
Ml/6jI2+zC2xAerxNkXRI1oEHAOyE2RAegClChmNN0hwPDRzwZkPP2rXBtFr40/aA2Uv8kRofOvO
TErXqhOsDgxXIDQ5mXOCdUKszF5V9rIY1FMjzJpNiMV74VeteVpZ1oWd+NEVJ6FdH4zXSgHvNpeZ
3Kh2fmGZaKmwpUOEUukHAo7Nd1OMLESqPSO8MVZORdDijBmrwHjoCgLfPVWPTxpvFM2GbIaRMnmq
6HiSzYX0iNiQ8GwU1OwLxReQ/rDSqL2ztB0F6pLt0PqEfaMYu6IZtWtFa5NwR7rHtK+6zDkPsViU
i3yy0WvA9tW9cwfpBtKJ2HnrhBOfaqhYhZ9OV/BVyEL+7+r1fZD029XrMuxe0Zl+e/15+dK/LF+s
EJqcbwRqlg+rF+Mgy9RsqgsuhwD+z06JLgHbY0yl/DAd1jGDOufHDImFDeA90nuTEO13Y+O/WL3e
G4t/dTHmxYu11bRpOZomZC7zSxcj0GaYUatrZ1VeloV1qgCsmQ9wLC8pYHQ4o0xIND2Gk+cJcqt6
3FtiHIVF+mponNuJmpy3c2O+TwdlZxiZftaCW3V7rc5OUs9Jr7BH9eftIItTWhT5SwMidq+lfXzF
Sa06geXsZMtmsF49LZTbXMKvE1FlIMRldP0YMKRwSMNFRlUxhJFOsok10btTkhnPXWeKN0UPJyA+
Jp1gh/EzVhE6FxSRyGdMznZapC0MNUoJprfiY5q23rUWOcT44JIKrtQIzlG9SSxRTrupCPDxV+h3
EXyBzfA59MtW7QDPd2w9nKHJe8nHJ7pC3UVVwSkAa15p0vUmTp8H0yyiVWqEZXSjRFgQEfTHloXM
CigPLjl9TBdGN5aPMSv0TnaUSBOmd9dialcV495uCmKTMgOZdFc5xkmHrvLJi0JTIyUIvxXjRoJG
lLKDvjSGma6Tc1ZHuzEwLTjvk7ycRI1iXOsMmDlW9NJA+dwXJrDaMyOC+muXdthdTpGNn7MyELUt
A27M/ix1kjFTvnfH/lvPzI3Ov++d7rLxFxPl+Wf+rGWMP0xJy5T5jf3FOCMIpmAd0IDc/CeY6wcU
Ryfuz4ToSfoCnGwHBcxfq8GMu6YD+Z8AjH8ttPk89wC7A+5an18DJGyWHf1Lea0HCTHMndUc0tgM
1nmeEJeep3SXLkatm9Aqhk7A7b6SQacGeLC6uF8ZotEEnixtzEA+j6GenHCvleM5XlhiMBd22xsV
btDBLEmCMZJAh0xJv4e9UiYh2D7FizrNVTwnzx6nymzl0Wpbp8pci/wboO2G0dfDUihlVD/xuFTT
hNfOs2o0jEPVOUy98CNsorpwzgDmEhk+VPBw+17elDm0TBtDW9nmxIHJOKLZWPbdCdEA4xq3S3aw
kri9hJTYP6uZYRRYjgP/uZPVsE4Ivz6FMpXT3Mq9Q6QYcv2/2Tuv7bqRM0q/yrwAvJDD5QA4OTCJ
pKgbLFIikXOsevr5oLZstdxur57r9oVD0yQPyYOqP+z9beynCa4MDX6BOxviTnN0MibGer7kFTRo
Dbdd2OHsqGc8Oyg29e6VeJo+KAYEnUGCLPiQWNnwSZ9bBKBJZX11ZeHtpqSYmQmC9MEpuCsUk+Rn
qYLAX60vxaguJsJs5DPWMOCnsFVx7XBmb3MgRluz0dAh9j2WZAay0FblxA4wUvHDaQ0MH89L9C/G
ijVOpMwqYspG/S1nanQa2z4+CLQunw2rN0JaR+TZDaMM6ZbjzQiWmV9pdWg9W3vQ+lQtiJwG+AHV
24P6XCdXseKiY2GlV2vFSHvkQW0y6blX2TI7KNuKGYWApJqg2vmK7rM4Y1Hsn0Z46tvey8hmV1L9
QsJzgRcl6XPcGhGD1pWfzYhQgdFt9bdGajQhUsz6hJp7OvXguhFFS5guirttLbF8zGZS7N2mjI9L
nZq8tsxRLmlkq0CWelhFtcAaMgwUda1wq10TYxcx8X77i9XR00ndi45Fp9hPDDqf8b7rZ11xmxte
frRVckg8fa2jGu869UbIBC4NBM5DnCIErnFUM4BrxH2yot+nfm43Ih2XTTzJaNtj0I//rrV+Q0Vo
VB7//WQ9vXd/IGFcP+dfJyvFlGbD8bCRxWhrruG/ukRd/QekLwjIeAttw3Y4j39YEjk+PZc1kQYc
edXx/FRnmd+DBFC/AOb6Xmn9Fa2Os9ZRP9dZ1FcuCBkEkTZ0F0qEX5pErYlVLZHD1enJXsnxc+Mg
T/QidFrT2zmT+9pH8bxt1xA6GMeZqRzL3h2xwDipnr2kOlaZmySqx/aAZq0pGXxms7ppFGt0yG7p
uvm2mptrY+TpJ7TtWHQhdjuYhGVPG5NkX4zC4hCvwMY2asR5HTOhg/tarUe8bkoi3b6/W1uLfLyD
GSkldnHtOwC8THBik6+DFxmZvDHafdpv9WpJtWNZEr3zEEvaHfZGUcYAHcYTsTIxCkcqKDTSgx0S
7JPtlFy0m7mNtN2U29pmXlq5U3O7ewJ6OGr7nCx0uTH6UcRkunpy2RQjQn366EhBf2c2Cr6iRtqX
UfRJHTZ6bT+ktt2t2UfUXTYS0Z3WJPnwkBsFUASQ0sUNtVei71qH/y1iclnkbHrQNjGMZx1R27Vz
wERoqJu/26Hf2iGqgf/+iK66umP92o7pHzypayHx40nlcWQiw9xmbX0YzfChH/McdMiWa/N04BJ2
TIqRfz+pOI55EQiQwSNBefbosH50RJRHrvbPL/a9w/oLDRH25V+fVNR5cAFt1sjGipD59Ul12cwu
puhuhEJ/0fj6qKFnqmBqHOwxqW6Ii7nQTCRX2+p21ELWXStgTshYvTci8z7vxvdapRtfluSQTdMJ
mx9AmPGc63qgTPJYVBpgWC2U+orYNkGdNsYZRhtLkbG80kZuo9g59wkZvEK5s7Pk0RHVs7Xgo4ra
d9d0kb66PkX7IR/rMFEUsjgT3ABu8kQ0CXl36h0JWdcRW8PkqVfiAoBV2cvZduXO6rRgTuNHi0Un
9FPiv7r5Dd7sJfKQB3XGF9wju2kYjlVkY5NiRmK21yhJrl69bD1pBjGrpVFn81u3l27Rnx3T2iea
dvWE8BUyozItuyLng9qBWwmuYKJOLwh/b5NkvICgCwC9cvWOG6Owr50Ot8v76DtP35TZTHkEr4zq
4TVicJXa5jPmmIPSe+Fk9fdJLHdKRkZaQ6nQdA+iB94RLekNMtx9zmpZy+xHC56sFP196Q5vlQ6Y
0K2u9HTnyWb1sTIXO7Gn6CEkpfnAtHJF/baRkXcwYvPeSXDIuUqzH5yq8s2Cim50FF8T7Qmh3atR
m/dew7iZ5GYqMudmVIZzrJehjKdDBxmvd5T7zFsOmho9maV4ZCLGqUSSJ25b1gcsx5NIbQOnbC+p
W6xGn3a5K8QYhegDXp3J63ZNu+xcwFxBvDTPut4kPrboNyyQ0Ea6LlbbTc9ih4yG3u2yPX1zchjq
roNqKOWCGet7jhHZVenW07DsTEt/wPlJ9Eg7Fj4VzX1ODOkRP9AU9G2OlZ3D77JYEncldiW/WIj3
wkSlhzSN2b2u6fTaCBss4rQyKJGUoB7BSin8H9x/MoCrTZZEQzbZ4KoZIoHZ3OOWscLeFg+pKdpw
WGU5kUHolxyHJkB/B1A27h9dBqKb3EbplxX6XeqKJpTZxwyRnESbdboVfa1dAyu5eSPhvJhdfm37
fA7zmdV0Eb2n0ry42fCsMAjILt1I6Av/3zFoG3DEhk04aFnf6XX5NI8D5p4Ja0nEJR/IxMxxmppv
MThHX+3gyzd9C4XI9K5ph2HFWbJvnjIS02niKJ2mpA1z3X2PG4iLQn+kUnjn9ZMnVas9+gyjCI0G
uGJSUqJaFS66JkejOeGWaYouxOp2MyXl0S3nJ3MRH6OjHjPPPeI7SLF8jps0Tp5SCB94BNuriOZ2
i9sZ6eKo2Je6iB7AEeC/8vIV17IK5U3WbTOI45n5AugkrH41cCJ15SA7KxE5A40cKcUuW1nJnpxe
WMbTP4BRZvL8loBVXpj/+d1KWpaOjV8J9rJD8RyvNGa91bduQzxva+i7CGDzsJKbOaYATZHuiQAA
9WX6WcQGX1wxv6Yr99nmQvXG4U1BqNCvZOglUsMWVDSdyxQImjOpj2pgrjjplSttDh2BYl3zCdoS
zGlyDzfLyqFeouizsZKpoyZyeH8ZW8yOWJ+8mUd0JVnXNY9lR1vFy8O7rerLblrJ1yNoKMAgKCNW
KHYqbV7bdGygMi0lYTVCjohRWGYn6jUZpqdKVY/DStouFPhcqSLYe4PhzhP1YQbLbVXJJ004KlIC
O6w6CJmuiR/bBuaN71xjupQTImcS/VDiny6+B9YnCdzUbl5j7JUakMkEJ4f1Lyn35sBAfs29r1RX
2alSALusmhT/WVlvl1EnuU/cEVRBDpu2FHdpjdD371rkey2iUd//91rklFZx/59j2fWTflQhUOVQ
m1n0BZQO/9EvGBqzENa+aOvXfemPdsGm0uBfDjMXypSf6cTGOoihg3B0tlSrWeAvOZ4cCp1f2gWW
V8x4PWbGNsr7tUj5ac2pRQbRWo1jXROpGN0jIA8CQYJKlFqYkLoBOw6jTkrSb24APP+e8kPej6oY
hFGtCUDd9zSg4XsykHBtUoLKuiP5ypkMsoOsnuK+76MjKdtYZOuilvldDaqkAVkCw+nLMusD6hjj
KuyqDc2VbyIdrpi4Td5qBw+MvlJQuA8SX5BQtABIQQ+WB6WeM/oFnpJo0WdmB+BUSNnEKV58x6zk
RQ1xZWWvTFYHeSFM+Kp2UI9iqC6mIogBhhSWmmkEYquYN+oAuziqpuZNz+SXmGcSlnoZBVpTbfsF
mVNdZvs2U/YpIS3+0lVvqtFlzE8AouPrfUxj5at+aSpxqTn4F2pBNFaEj0VF9Elr3buyVjeemHaZ
vNMG+3Ge+mfbjTcmnn7vN4303xNRjcfjvz+I59f8/Q+eQz7nx3NIqoOBuJKZmYvJT103J//qBox/
0MfzQIHOXkGNfOjHg0g0IPpR1dEdPqh+f0Z/dAPuP2wGojTZjsaTw2Ljr/TtxsqJ/P2TuJ4BHv+c
voNdw6+oVPaadIhtZd3kUxGflLhso4dlyat2D4A/382maWDgBu/WIo+CnVUczA7dnTUq1j6PkAqW
QkefMKtsSbOCTNOFjHrfdNaQApzxLmUDYi9uqpxcVcXLyN+VrCGWQt3aJcA7tDhU3u67lU3ofgQY
oigyJYa5JD5VhJRkhJUo31NL1vySgSATfSLRpFizTfo15WTGiV4QeyLRi816fN+ueSjqmoxCwPsU
VISlDJIKvvfeoRIRf+TeyNY9IL95AGyzUwhbUdbUlSqqT20C23vNYyFe6HMxxIFLUEupW49x6i4+
y/GEGavRMC2MX5jWHQy32WRq9AJA43W132Cibkk3GMiEIUGNpBUSFxh5Ey7RYWJ3iJBp1yyZvNMx
GBbXFtM4Lv340hI70xE/M0AFHPhFQ82oA1nPsy+i5liumTVlTUQ9ITYquhBvTbXxZAXiUUe5ioMp
NBxxlETguF1yJ9ZMnGTIDuOaktOueTme4BhcE3SaNUsnI1SHCe1LzrSEOWQdWEYnt7GgNoqb5Gu/
ZvKINZ2n0sQOguaxoNrfkXN7rdYkn3nN9CEI/KmJEnNjdB/jmvpj5+T/sNhlWU4AHzOsD2XNCELC
fNOuqUFyzQ+aCBJy10QhhWghqJd3BWhsb+qITZjqIBtIIbLiKveXNZlIVPLoElXkML0l7xdnAlKx
F5M4I+hOXxZV3rUowlj4vswNwI+OACTo78B15hwaXZ9dS0fscwIvwGOsuUkEKC1rkpKiWeyOm3ib
EbIkEkgJbAq2DvFLghFXDRViZSCmdv9Gg6mfmc+zMSxX6+KATroI59XQyM8P6UisLsfISnE8TnRf
jj+4DsyjktMgJL8b9WMb8cn5+huXuCz9NAL5W1E3eQrYCz/KCdfiGkn2YlJvJA/DnXAzZ5crLgA7
htg+V9XRMDIjAAzhGy2fI9NGucnimKDBRa03Bu82H0+Skfu5JnBiGulyQApq+VZbp0fXXSTzN2ve
AOgY0FbDMFKnaTtD8XDV+AbwCko2XbsYY0ud5nl3mJHjsC+ya2tTy+naM2sO8dBpSv5SaaC79Ra4
ncGWXYu6ZuOSkOF3tpHDQojpK2BuLlVjMKonachFKr8rdSK1nAqAuTaP0xVgEHTxGnisIi65Dq3G
Q8Q6Im/wxwJ1p572b92o7DQYVv5kdIfKHgm9tdyj4hrWUYsLN6ybjKwl1NZfdOaLPgSxeUNKBvGG
60VZJQ4ck7JrtkpTgMAapPq11fTPWVlGW4+wMfIbZ3dXSRjteU4IZF3CEOyVTGV219a+pq9/38gu
fWlGp9ZLdsU8X1OeKNLFR1qc7o4oRgklwtpqcX3ShLFLSzLZag++QSY7Rv6eGyxrx224DAMGCV+H
8T/oNbEtq/IusVITAi5QI0BQJzcesd406i618he2o7tR6R9kPk3wseFoJiDRKy2/9GOHq3ssSXJx
mMw0zd4e+4/YiJLQ4vII2fjywCI+1S/uUn4q+6w4e8l0W/EbRdgBobGsaSZisKusaJ4pfUD/N6cx
ct+XWteQ9JbHIZ8Z7mvLDs/kw9+l+m+lOrqGP6sQ+v79DyaGeGP/VSNQq68RwDYGKZ1HbVXh/atG
IBVk/cc/nLj/nu3jNqGkWDGFKn4U9BU/TQy9fzBitPmKFAq/5Qf/hZEhOINfawQLS5IJm11XTVyy
3i8qQYZda7C0Pd8Ial9nk0xRRlvpQBiJRZqAPolOg8xjYyMYCOZP2qjhu2clkQ6HRqaqv0yEtp5/
G+5kiz5I0MRNVQPXrQzb+rqg5EKI1RAKR7BbxxHHhnO/2FrsfXhqqQ1Mw3psFkPqmFEYCSm9sGjq
2SYURFnH560d6xIGcz7D7JFYSREyjvGibUo97uTGdDSwAyssJhzGXNuNKoE/O+YhpvVYaCCXt2BW
D6wgOHAq2xz2jTKJ/WKIkaGN4S7bOGNbuYnjDFED2Gt1nwCiOiqRW7ylEAuIG0dL7otGTBulYDdL
sCD3c4KgTS0VZPush98mi7mKlCVybFUoCYczcVGWSD7sWSGxpHI/qHRMfyjjcuM0fIzcAYaYE95S
4inmUxLDInLXQzVOS52hBwwBlnq0BI6Tc0oPOVhAFFP4mBWVFggNnSZSde92JnUIcUmvGpGqpOfW
8bHplOLWFIxiSPbymMlV77kjrZ1RGPEGZoG56+sh3aj9GiQfO1ASrbG4zVUsEq0HTa+ZEG207bxx
FXDMsWu8J8BT9vQ8vC2mwoATYAJ7rGMypG3ljaFRvLdlMWK2ZT6adN2HM0cR8BdKJKek8AvnDsBs
MejOrq7LnoxyNQt1JckuvObSj0mkPK7DsXTMoGeR38F+dhZ3nheR4OvV5aZf6dP1XALY6pggz2ME
l0Z2vEzX+FxUuc6xl61TRlMlVgbmWU2WhD800HtGRN47eJftHa4MpG3xDKaRaZkvhdYyUxM4JliQ
Flupesumn2oweWQ8bRbNGcEoQamNlirfa0WHejzK/mmY/rux0v9023J9n16/vf5na7V+1r9aq9VU
hzdPJSsJZdeakv7TsYnCY11vrGQXjsLftVa6zRrFRtK69mOcqD9aK5j6KtB8VqboQ1b73l84NZln
/HpqOiRPwO5nNUp3x6v4/YwjGtMG3nEqbtLq1hAsQ/RIzP4yeI+L1DF2CgLHPL06o5C4Z7zLnqRQ
AkeRUBMTniEBvdB3Bo8hmneDfLsOFsV+41S5FKP3JGX7CNXwY4Re0ir2KlxxXoqmZMbf2zC2Z7aP
enmuwYwGE0Bm6PvGdVbbJKDGMn2igZ7s2JZbo6bM0aI20JlIgJeyPueF8xQL+cbxVgVR7u3xIj3m
6XDbeeY1dVlwqh4q+Jyc6XohWGIaAGehnAEQe9LcjMifatqWS83PDH3exW/ujofRTbbkDUYr3m1b
JcozILSAOBDf0r1r4caEAADhrBw4S1HVY/+biTlJ8Vi7VHvobH0Eat9qL73pc2h3cdqKB4mxLp2g
g2tNH8h2sdFFMLlV2Iz6MTHaG0+xXkqZ62hgI2ezoO84OmAJw3Zm1q+Qr8m5SvLuPIWF6Vmhh2nK
nT1J5To+2AJKo+ysJ3yObR7EaWc+eNwpwzqQranjF7vv5aM2z9C2JxciQGgxFuUuJBAUeJ0A/szt
FBeo5+qVcjAhKbapdXuxU4tlL+cJKn8PdIVCfreo5oSRn7Y4srRH04ESUTrme0OzXKi9509EPBEW
lwCx542TROPjUFVf0uK9i6xjS1yVb5n9gTic09I5GWDxipQaVdkkeYMuySGCQIU9lwvjRJjfszDh
BzXYHktLvLaa1T5C1L2PS/Ne00hybObDyPB5ybJon1qR4StptCfgtg7i1jgJLlCWGI1zEIpAW1K6
T8rUub7dKtvZ02H5TcDlWLS40XyQHk5stW6oy+Mq9CaFhWDb7FLWiz5ScSrTaGuM1naVyXA2j0+y
KJ4LS/+AFlf6UdZ+Rop8rqL8UTjJS1x2t9C2UsZx7j6v5Oe+q0q+fLJHa+4EBTjLahmO5ejwbs7k
Z+gKK8L/dRDpBo/rycvSEIzrC0DagRXQDAlNBSxWdCsguHtMekhrzWj2vLT8lIMHbSTr0cF5aT2a
CjTTF5r4e3YsO7j7z5pQlh25gkE5jl9gUN7rRb11SBAyQOAvDapOQGr6OXOhjLd2BZ1nuupGvM2r
bzmy83ECPtyvzMx0BpIJ+iesLXGb2lboqhBkvZlVz+D0nxG3L0Fk668lcCSMQPkQqFBONdKE/WkS
n2xJ77LUBNManfOpquKT26ov0k0uRJffGTiuNMjAvtd636Aq70uPxAXbaQ8gRXkDRp+KDC0CygYG
MKRUp5P2ibfxZ2fgaiZ8gtwz+673jG+eFGiflPm2jsD5lr2GizPW8S1GleUXduL57tBp+MOWAim/
d5/nnCvoOttDNCXqhkZ53la297ZEw2tetLeRRgZc5FhRCCQ0CkrRepsus04sNsxbabg7EHhJdRdN
bfbQVBrgVYM7PAf8WddnQ8ZvWqUdx2IUe0S4ymbIddYfceb3DXhiUbjV1suHd3i7cjM6Cera1bRI
rJmH7dXjN+A5uPYsPJmR2Z2lRlqCroHexfeWDPcdYW6EvRkHW5pXgqlOdclPmeZtCLoaDr1UzFDE
cZglJYH2jvm3BuqfGqg/vfLPdf9//m8Vvxfvf7Ta+One15BCMUvlatcZaas/09kRmZLM7lqm870g
WC/3HyNV8x+45lcpOBsC5g4/S8717yopOiluG4fYnL+ELWLW+7uBKrAkqggqizXKEbTz+vGfVhuZ
6zBhqGA28IBJyyGaZGe2zz+1kLe/6ap+dufj+fuD74IhBzQB0nvmHr8UF23EJNaSVnYd6iwtwtpV
YcJ40NKCyNDzTWb0BLwzziL3kWt8JKEkKGR0mpg43qtNclekRGZYSXqeVZVxqaZY5HKwRi+0VA3U
ODnMenkYp+SSTt6+GbWzKue7XuiXVtbcMsYNAq+jmuVYTKf1FlNbb+usHQVRYsJPde8bmXgzLuSS
Dw7ELAJR+UgRX8FOt2G7ETnGfjLi8xeHrAkB4N0+zoosd9G8OOGg9CzPPZ3F6ShpFPOhwmakm08R
wpqdU1jGF72EL69QGO1SNU/sTTK2TbGpRZs/1wQdQkkFhL6PPXjGB80AUskwyb3aCCuYboBk5gon
29YfjMZwn6Te2uAB9GLXKUhedlo9Y6gln4g+uw1GqxxExCLaUm7cVlcufP0mXG+5fHUZ10q1cxmw
hPbIGBI5Kvxux033RmHmxxG1p3vL9+uNL5aInf6ki3qq6ZyN+9rprOU20YDotbHwTl5nO0ec6PEL
5gjzeWLpDYZV4GoZqtE8uGh8SbnTrVnuXZpwO1Dn3qMMo8iykZBt4Lmbod4sFHkjoPc2jsVh0q3p
6o2jsxn4nXOZyv61Z7a+CPQAYnF1rob0oGAJ36BpYgVGBNA9WIFjpopi49Wad48Clqi8jALNFR6q
6YZg2yU3STXWkPelz25pTWf+dFNot6ncdAO7M3bl9P1ILo42yUAbhynhbhgKLai8yLz2yaSzK277
nW1M+9msuEgWvb+LmevRVJYXIsov8JKrbdmld2ZtkYg8ZmFkF/s6JVInNtTb3psfBoqbR2zR7gcs
BtYBeWjPi/1Rp2NolbCJolb7pCrjNrYHMnnqnJqw3OYuQ7qFYWVvN9/6fniv0u5dZOKJTVvYGdPR
W8otBwgeNLkzF4KK3Sk0vGGPivIssUnE3fSmWiNTe2VbzBotJ7aKUXyFpEer+jVSRy2c7cKgwCQ5
JLemF8tO3wppmxu7z/sjA1ucDrM86yUxjrF+sZsx5L5/afjz9QOqi8p1NtFkb0mE2Y+qfFmifhOX
RDa1ausboNoJZ6nUQ2bB/9MEtafj3PIz3lvkqoRLKmPG8xHI5UlNL4lpA5mN9LuhIL95bodTrC+8
meGnF+2i+nlEO+yW4uTxEKk1AfdeR5qwe3bRbZlL/azIIcgt52HU47uqbc5I1INJ987lON0lHssB
dE46Tg4GJAtxltSHGZnLwdjVlIydes2V/Euda1+avDymfX6qC/eYjdqdnLWwgE9dF8XFMrOgLVpx
ko7D+IXiw4W23ubOflxL845BdLKQvSLno1tLcWhlVR3JC/hWioj07aQquJCJ0LEWI9+1XrOLetz9
Uijt9s9P3j+wQ2ouOtvvmBfMg/zn78/3RGgEQdkF8NmW3mIqPIHvXuQhEazFeSiNOXQm4Ol1UjIo
ke9a0/Z3bZurn1zp0mEty/3YZWd1icLcc57VZdi1if1R5VkcNg2QCdKqCBdb86Al7+kigo0WWX0w
M4PyzRYjgeMOewjHb6Q+jEGa9U86Fs0NZndaIRXyRFEFcxv0SLWanIVEVO0wHO10cyKZs971pfNN
FOUDzJPjCP1b9sWxHUExNvXZ7XVvN8wCoK1I9/qSWGDj0sCOIOMmZraLWUuGvdrfm2LUAlLdj2ri
8Vwjh4V/olFRdctjliII8Ww2PrrQb8wU7Vhrr8KZNL9MjbwmuHry2dpZwBnCtKBArHK6KhfKekkj
iOJ8Y8XNuYgBrTuVfpMW86kYyz33GhiUhuCCWvTElXc3eVbc4z1j61BNRWhXSkqkO/OdrrtNDThQ
JVH2tBXZoylMPJFL+uqRppBOvJkW3qAuO688b1fQ/E5rSuwT2ktWirA0yGbyzP3MOWT0NW2nc1Zb
dUKppHyLNFv6DZ07s/eFQO+SQNVmPcuGc+rYn3W12KoqOhhQ2C9EimtB1oscO0l8Y0icS8Bc1xyR
zN3Dqh+farJwTyz3u0vB8Orw529VxB+/FiI2nAqyaogucM1Vh/q7QkR2M/aREub7mIZGduz00f/z
7/B7FQdf0nCYDLP2hK2LbGSVq//8HQwb96/rxfG1sDOye2/SMd2nzX03Z7wTiiC1262Xbf78ezLe
+d3P9Z/fdf25fyqwxiYfGtNQlIsqqgeMy4xK+C/cip8Z6Ao/QakRDK71jDeMLod8m2mBmlpU8wrM
T+ug6uTnWnHO6WCCRSyTbeHN2pubmE5YqtmjjZwtjHNxcgrzxUbZSK9l2CPvpqrejNKpNm6jYGVr
gGA4lRCHcXGMt7oiW5a9tbFJ0/QrpDPigVU7CTmBRTi4thowRX8YzUKy28sfWVbphzKGpCSGb+yB
9lxKn/qu29r93Pu6le0NNVHYLVOhFHNV7dB5qUFL8AA+wdU8mC73elJhJ07JSTRihh8e2JN++mj7
WacLSg+dSXrubH5aZPZsqvnRQkvJiJxiLY0MrC4D4dn2aB1ymZ1YBoeViPQQiRp8lSjnlFWfJxXt
X5qVFzdZdlU3b6ZI8g5G2jjEJaaXJqyz0vUbTHdhV0SXhjyQVa6q1bYM3Hh5QFhPAdcon8aB2BvD
QDcmnWGnNCkzp7F+tWNUtmp516L3x6ky+L12xK6pMDE39g77xLDRtMdKJPslIrFi6sZrw/QKiaN1
YJT7TqdLE0ncYWuZu7gxzw5N/f94u/2v9/haiP/0bptReE86yOFLdq5u46uyRS/7RID1gdjus8vV
E3xlJsNe8lJ9mU9//s3XCeZPj/CPtzpCJDRcOu6N9cX99M0R/LtVDoL3gvzSr8560GwRb2on5dnZ
kuf6eKME5+dpA1NveuXfiqs4q/4x3UZXA0bj/3g1v29sfnsxBkHFFiyC1VH7i3BcqDNrbS1Lrol6
C1baT9Xn7i+SUr+fKD9/D3ZaP//AsitHJUmKhMv1Pe6IAL/789/oH/4MDjIXoLcG7JNf/prlYkv2
7i2Xt3LbejwPFjXnbyfU3xN7nZP2vy86L/Ufpaqtn/NjXk/f7uJwgFyomwgnVtT6j3k9G1Abpt4K
ZGVt+X0D+aNvxzbK3wkp1L8tpT/m9atvlLcjYWj/H7hhRFe/e9rgjgLNwMKugemzHdQZv1xnveSs
Hq3RvsZGJc/YAtWGxbmbtCbjYhxv0pfRyF2vYLspQpf8tfoi1LIfNyPocz8ZLLW4uGOqlsRbxXwP
IkXY9ZmbSIE/5W0QZZNpYsjZKhZ/HrIxfiYjSkEcrsZg4vycTrg59GbH2NGbiJAHw+tAmEqUOt46
FmClcamedXWkziELaKgcRq099od2ojrpUrQCY6z0QGPVT1mF5b2yaYhL+iah3lcCDZamodOvo+bU
1OWpaqOzNi9PgtuCLhwscNOQFdIcijKOiJpiG5raWUo2BcbNYnFmP3WZfJN7RcW1AFV3vFuCZEaC
RBkSjz3YMpQfGLlhYZDOc0R+/k1fhiVMx+nzsFgGgakFTA3VCsEx3fZ1JbazPVFsjR7HOLLiwHDk
EuaDXSBzqrBAWvhqXVXf0G2JkJ6hDWZ3+qaYCwHzaUyLQV5wGWnflgVyGLLPLXMIhtbQw6BaMHuF
z77qlBhJYChr53M/5iNZoxOa69p4wEqybZ1RJw+ICSSUdkrHqDmYSU4mkllfM72+Z8vJmLI5pVxp
CZghf3KhjOAJEGPxZgoys7pkCgcDRXWRIwMFlw4M42hG5aZrXNun30YxMyyZ3xV1vnWFQ6CIAauN
Pc+W7FI6ATpjLY6fx4q6JWfHsSNxNQ0VO75dHIpi0xsCrR2O0zhl9H/dc1yjPZG5dQJT8DDEywbj
KbFfCyazKruPq+mcWiQOOSkJObbEnGHhvWlMJdp3eZQEKnRh1aqdjdsa73Wh9XutQbZqVTV+ERAh
CSSuysgfHct+KrPWx9VwoyRNEzgea1Sz8DJYYtk2K7AfOG64znxG1XhRG9w6JM7sprl4WHLrUMUt
8ctRwhjYpZEQfTbxRteTE10OejVPskaf5+fK0Y0w04fnJZqfNLP/ZPaMx1nb76rEu8l6C6k5gafW
8LaQisP0aJ6xYuTgVnJG5i5xOMYwPpBZlft1ppGdKeJD3JsxyQDtPTTll9yNv+CzZW2QIkxkCdCi
JTO1wFTHxylV4d3njG5qOzmSFXwEW/FaSbfz1bjVA73WHih+t6x/PjW9ulOM+nZWEeMvqfHA8o+0
d0CXvgFzKk7MS+o0SoBDcbukxTPav2qHgO61jOWyR2pHGEpnUjC4XlApeRUaJRsDco5fsmq1Eqzj
pGKR7slTyTzA0bmLVdmtBu1tOZOgE+mFuWG4SRoZUTRFL240zXzvIEZBaWivjeM81ojNjl1pANrU
lnfCdu8zEyWCDaoHMwyRa70UH/ME2WWaaJYZ4JsBI0wXcdI6DXCokKOC5VeU89ZhwImgTKl5A6Qi
aEVtBRg79nm8vNrJUMHfqSq8Dd5ltNqLppjv+bAYYb0gYuhy0JbW4Gy5bD+62TzFdboXsn6pnJh1
XNKSJ8R8qlm0k8qCbesuyhTqo31vLrp5iNFA+Di5GXLo2UVjaoAreSeG7MTA9S7r4PIU2SEZ2oco
aT+GxevDau7Ooo5ubKX51Ljk7hoCIqCaxDYzNc69Lq15cgvIQfU477K8fq7qQQTODHeD7C3fitBY
zUxQgnSan7yeiN6xRkYxVQ1fPM0JzBwMHscFS/qorqKCOvAWnVmSSJ71+X3uoF8geU03FXF0CbF0
y5pPpxFUV6yJdeQFPX2XexmE2f0/9s5suY1jy9qv0i9QJ2rKGvoShZEgCXCSRN5UUBRV85w1Pn1/
SbdtilbLv+O/9c2JEyGTSQCFzJ17r/Ut0xavsUq3mzOXqEAC7/SuevEJwFsIwhsMHoaaaLxaZeRR
fkICVbl5hkrQawr3PJDLheiLkKBo1GirDteC2D1eKi2k+LQgr9sKlcwXDRrhvLkLAZzUvpjMWRgB
SYDcazrYKtqvDr/ELtf3ltC/Ag4cobfkADI5LhUR78FSGYGOSgtU10iMLm/Fwb9VkkER/4sq6fnb
a/sTXYP6qT/qJHQIXFuFjQTBV/LsP+skvKXAuKiE6GuDK3iva3D/4zJxID+GCzneivdyMOc/rpKK
e/yAZTAs+EeScdtRRfgPXm9MmC4TUwtoGXuc+iPeF+mabsydKY3oBP6Gpj/npuxgR+WktkGo/1xn
GpWA9NcLuW6uCngri4gGR78Hp/Zqqwi40RfcH0cQYG5+nOCArRY/hX07IBsjQU7davGgwZv0SJfD
7EXySeL7GzupX4y+Jh7G669lD4/fGB4dMuoMvhNChdbhOHty/Hyt0WL9RMND3zM9PkbFGAZuKNhk
pFFte3LwqoSCKzLMR1JFy3WjwvII7UKIhH5gS7Tu92HsXvGUE1OF0HvjVSmUMHL3qiy+IYTweSGP
T1NZO76K6KsEfe+M1D6h4vt6YrJWNXGRq86tvnpk/MVk/RWCrbsdeYm9CgLsauOskQyY5tFVRVJg
qiIDAQMRWJOYZ5GmZ720plWS5JKih6jBnB7MDnHDsBq68YXMO6gbRp+ssthDmxQLTCh6es9I+IwB
hcg5HRxaZ/H9h9x715F2WBTGDcdny9FNgqhGImJMMmIsJ6pBwkPdMQbyTHpiZNQpfWzEq5hF2P57
QcmSdJxJsb48ELdb7v1KUPRKtAaRCmgECpAyb52+oZubL6IhNshj0xERq2hHa/S0TU3ao9OQ+mh7
NRrWMLyZVSRk3Eh/O0f0HPy8gMupoiNLFSJZOdquUszXxKXV1zzNeON3XWQpmWDMthu5+B5JpSRF
BmAAmZEEVYbEMTTLxnUJsaR7+MKcl9RMFXAJcKTY5Cr0ciL9knPu4ERtfZVkNRlpEUBRSCnbNCE0
Uyc9MwkNuRlUoKZpNre0x+O1i+dgnarYTa/HtMQA3tq3JkVl1C8vfatb+Cx7mpgqujNVIZ69ivNM
UoI9AcZfoUr3197kvLY1Eeqtb1yXoywDS/Io0/me1tGQEDQZMb0zNOeuJEd0UIGiCZ3mVee5+V52
EzjdaLzTVABpSG/cVZGkYxEqhV6J2FwFljYkl4Y6Kn80IfaeKKJHPzW/0hPeuSru1Jy6K437Bu8z
RaxNJuoSN19n31Ynodu467LznRvqUYm+YGHySBtTnWmTOt2skWTY+PMU8Z03M69ixMRJOHMkzups
dMficVSnZejhCQ7VCQq75NOkzlRHna5Toil5Tbau1MmbcQR76iweOZSpfBDRq3PaUCc2FUGDaIhT
nBi5+4VjvXXqy16d831Vfk84+E0rPpSmdxw8AHgUBgsFgkmhEGvxla4qh2pG7WfnDM2K1r7VK2dY
G6rSaCg5PFV70DI/AHemGsn4w/1o31GmoJz87lC2YFtUWxNxF2ExXxCk8myqVlhjcGg3k+QiNA/O
RbJIKpdoIuo6daX8TME7YHuMa5urgtZWd9bYd59o+I/Mb0yC7Ry9G9q9lXjiKcoqcSG7Oo/OeZRH
3kE2mv0URo4ZXqUC302BfGHd++hMmN9sxGTyaIRRTjFvp3u7InYPkywZwzx3G1EzGuEpfOztfr/A
SkS54exjZwnB86H2xhGPAKQKb7xlOU1lLwNAokuA1+ecOxHNSFgGm6JO2J6y3Nz0Ufo9at2b1sFV
o41iixKt3oNbzwMXAQyTMKYuw6dGkAPIt3jnhUAu/B56o76cfTs59tksgrrWn42JfbwCj5biuzNG
Iw+kDLt9w+WNZy08zZluBrMEK68BIl2VyGizQ6myIDurfHarISa6hpxI10kukyz9ahIgWaW4fCmH
ywZo2ELEZGiTNcnUMsNQkN3jdS2ZrhbZ3sOpUS47etI7bfBOkUquHIiwdIiyBODK2AFFiUvIpUFb
a2Wo3MtcJWC6xXhXqEzMWKVjtions1SJmSQOF6vUTECAgAmZidW0Bt0IihFBqOk0t0kqkCW37mVY
N+dKpXI2Kp/Tx6LSxOa1HXNVERF5tW0LCp1Qz8ypzhUhnxrxikGlO5/RCr2kIzmg45QfR5UMSuf6
GIJkF42HWDU5zQIdl0mYaK1SRfu03ia+TqypR3YyuaOEk0aBo1XGqsd6VUIWCgSziHLO1yBb7rjA
cQcnxNTBjb8dVa6p5cljqpJO8RhxWZ2nbUsIqi1JQ+2TGLsKAakkBLA/Y27KBvKkteSO8DgwGe7B
RC6bEU02kLSaWXzUOplrrQphdUljLYzoNfX9vSCoptL415DcVjmQ4EiOa2HGu3/ryd/sBTR9f1VP
gv//q0xWgX5+LyffHIhYgRkFIZrBwfSunMSBaAJDcwTIYeUS/lMuA4/E1FXuFiZdpWahCPyz7aaQ
QrTwLOY+NhKUf6KTxU74sZzEbYz9AYKk+iv4hT+Wk9w/BanH+nKyivhTY1Hv5Ax0CPwkzchYiq3X
ODuDh0jM9FYm/xPNo2il9wDjC9+5Tz37yqrkoSBfCS45iUSuS4L9JmEG/ZBXPuQ2U7+JtLI9SDZC
IrfzVPuKWI9tsjSsIT664VBM9D900pdzN913kjOv6NP+RsfIRN6qczdmaqJBiLwvwLpNpbWuYxoO
zVTdz7P2CRD5g0VJtNJN9mS9pb7Q5lOceBcGQQ6kkr+0dIFEVo6rKNVv69Q8sy18MoeuXMeSb1Yo
1Wy0JYkiLL/PLWiz2DS2oY0Ry+Q+T207nZDXPTc5xYKAtrJGHfetGYtlLXUG/f7kbSJdcqWuYtpK
tB7hjGn2fBinSguwfB0NkB4WkILeiI9L7wbAmlwsa7G6ZA/Hdqg/x7r/qNkuys3cusmqbiMFsPiE
rmebLg+yHbdDb9TXRjhyVlTfTd1gIJPc+r2qSK3iso6Kg1HMn7KuP2rV8F1vKUl1bXYD07JgIiRo
6jQtkysrz/ZNp5GEEDsBMj94HPQ0CfiOvZOJiQLJPZLbQY7Q9qsxkCoPskqRphQ0UzdelsHnmGoj
AET1Es/RRWnhUpRhqq+6CX2JZ7JjWfu+b09hDr/WoqsLN69taswdTl/sJDFv2Yok6YMl26DrxJWc
aDlZFQCbGO2yrYdfM0gUWT5pADIp/MrpOXJIfuJ3BlXuI1lQSRUxfrPY0p71lgyWdpDsrRkjeHym
sIy9K/rMYDv0rt+SzOZc5qNF2ELZ3sUdAhhTFvjGzEgxOfx0vbT9HnzFQmICTZ58cNce1fqOibbc
5jz/1z1yLVezD1rTfULGttd789M4SANgTaevZWcaTHzM9BJXDeUdQLtNLICFh0OqrcqJAG1ySEKI
moZ+XU8WTBJT1afZsPNtssHG6KLIaINMjfnM8EfgUJyTk2uZY+ADBZy9YtvLDgbNnOSBGMuvc1dt
zSH5UkWkfvqkIUQxn2cK5Odk2wRhECv2blP7ieDtw9zmLamPNDMmNiAIIJp9uHLW1kTIp+Ybp7x4
yOxvQtBhPvzjJXxu25i12SN1JB4/bkNzHU0dOFL7lHVf++w81/elf/nvGfV2Rpm8Wb84o17bl9dv
fz2k1E/9cUjh5YBfJwSKGsWZ4J9+nw0BzYIKBSCUZogB7RUdw++zIYSgGDhodpA2SRTSe7wdPQ+b
FiXOdosMI8XL+wdmDholHw8p5SIxse3y9JmoTz8MPy3NHIk7ybKToYN4ufBlUus0Cwtb4x4Dn2lT
vMWQ903aAM3M1j3ySaaZ++lw0MN0V6rLLoP5lDzzWAWb18lwTy5De9QnQle/hKr+dSTO5xm9Z0Da
L8Vxxu0Qy9m+NgViCkroKptPk0az33fN55BBW4Dl6lhTdpfOhCiAQnyiIK9VZd570yeaFN8cSvba
qvgFMDL30STYxr1qb3f+DXrp7wOEX+hUhbOS6hZQjzJ7CLkYgOhcApxqSL8m4+RxeRgLph+Ouk/g
G2GvaL394DAjKrJxjz790Va3kLGa+82gbiZV1Qwbdo90X9Po3vgoIgNRhVw0mvhLnzVyXYo620XA
30EZ68bWQsTFDdrCMDc6Mt6zT0Y68ZAcoSvI4AhFcy3fY2CAqkU84a4zjPwIuSC6daU7fXYGiIOV
y6YHOUOcEpphQWQkxvU824Q42eYZejL89Y7GsNOgQiCpptvGVWHE+PVY2kw9kkQauQfOQ30ft4h6
BmNacTiE3UVqtKjRe2kdvbq1l1Xhz13E31A2yYXtao5xAGOkZVsTdTxhLZnx1Wgse9332sptSFqM
mZPReqV1xVET46NW6SFbXRQ3TAYJUJ7mCsBAm73SJ/sMDOqy0mmgFO64y7kfBUAcr1pfu+pQMYJj
Staizm+nuLyozfbR1LLLdGR80JjFvRXF40bG3ovNNYQp5HVZTNz4YulmdJXmxNzAI7Dwxos4Xa4Y
yQKKAnKb1cBHLHsID7S0D30Roo8NuZZPcOk2xRK9LNMIq0SvKjpbIZmL2KvRnJRxAA7iRehc3gUq
E3DQsltb8bTpDbl2FSdMTQDhnwi8BUMKVApvOISHa/D9BVYHwRUzKhKuDhEtAv7LlN8bG/7GnesY
g4bqKwrirb3FHsgRSoa1PunXroANmbX0Y+YaQaWuy6OTTEPA0W5ukrzTMF6aT85k0Dicq7tRsV38
Gdw85iJ31eCk8bmFr6DT+PTo3NcijL7llZdjseKOms4o2bT03AsKtplhoaFTMfXdXGwqQxEZq9Hf
ejz6umGTi6O3EmgFFDHsmlG10B1I3Sq7KDtZ3f97fvx2fnC7+NX5UX6rXpKfygv4wT+OEBOFvwG+
HKUAT6VqgP9xhMCbN1VQHvHjHO/vjhBbeQg5d8BCvwGPFB/l93sOygO0Lvr/Rvn9g+NDOB+EPNQv
AuUDbXOwSj5hOx+kBS4sEQ8zsnYyeMCAttEgtZfXcETgnYncWfUW6cNGum3nqMgxUdXtrd8W2o3p
DhqBrm5VurcRrTcP9scMKa0z2s902tz5RWiEyzpxWKxMhS0AhQ7KwISFGHUj/4973I7oeXCgCnkw
yWTaDLXmb1t4CGWd6S9RAyKhMad6WylsAkQ5uRoUSkFW/LeWwiv0mdk+1W/IBQVfWMiouRhL9yJN
W2s1Yp0mnh7NGcyG3uy/kvvH4EzhHKiUMSqrKhjSw6yQD4UrNrFvD9eewkEUbRptfIWIaOcZ0pLC
RrQYr9BcREzwyMny8HWvTIWZWNDVMkbvzmlXWjQqZP6I7W6+MwwGrV0CvSG7TpooBtjm36QL+DvA
NqgzUu4zY3IamRx0CVRCj7ujLXO58hQSw1VwDEnmxkX5BsxQ6Ax6f/qme+NpIC8YV56CbAw1Qnk+
Fu1Eht68ErA4UllZgUw4XBSmIxuq6WbxQHeUnZ3dTNA8KoX18BXgI3xjfWTLkmw1bQ1oJrBKUt7S
FCpIq/ggyxsqBCynt6bdC0AkjUFHASuswzv21no3vIWs82CXh7Idhl3RgfYIHc27Smzg4Svph1cE
A3deeWU0fXhj9PFjHpOkFpfOc9Qibh1JB9lwrX/MDBltQll/131y6aUWXeZqSO+l8ymnVUwkYfE9
hr+HqlCe5oLmMF5El23eywK/RBoBNvTQDo17YQpuYUM638UpigSzKHZ2zP/4Lb3KSfRM7WcF6k16
sFtiJc0edmA7jKZ9NYhau5gtF6ALnvOzECpasqXHqndAq63A7ABv12kuLyFVMTDhQTthvHa2bSOa
o2NzkGtVxYRAlVTe0u8Auz+pa5PUuQLizOsuxqmwVvkQGUxDQ+8aVNFWK/xvptZdOmlxU/X9Q6hZ
V13tIos1tfp61pL5YCriLpv4XhNcPwvOk3s9DcON571KbTomOfph272c44oTKo13zTRvHKotXvPJ
m8tLURRPy6AdhZFcFjFdtKQX4VXp0RgvnNra9nF0R/0XkYiZH8Dv7bOGD8mL3Yt6TNDQpm64orv+
HPUj30AnOU1DRcJg6bcrTQ4FcSlNYDj5Aevsxmvb5wLr5Yi4Ho7Id8dluiuLbQsXmRS1QB+4pUUm
/QaubnGdHlxg8/44BVSyb2qlmMlu/uDl+sm0+wcyHrx5lfmVw1zPdy5Cb/leN8YtYNGDS6yaVRQb
hxE/WPfpyMg5SIfhOXasHbzNDU5WYu6Ed+6y8tarzG8+sotVkVuv0p9vbW1y1kVTX83NAnHcDmo+
Y/TP0IEQjSP0DoZFr9G6Fy/Y7e9H9TwaWXpo+/i8VNOpIJkSTNIhnKq9W1QBG2kW5EK/Kcrpem7m
wMQSUIb9WkO4AVFuR2Tf3kVzW9RkXXbTVhNKSm8mL47XBzkQVA1gTxa7G2y+p7LWwX7q1Q7OP8Ll
PjqbEn7MEO0nBB5FpV0yVMNTmND0NBnaT4ghiu+APIIQIQttsiCUWHHz1yrsbyd8Rqmn72eGfclY
fhGMVboF+LzNGrQb7NA8Mci766SztaFTimhC9eArG6a59nP4MdWo7wq7DfzQ5wkMNVAH+tbzi+8z
skV2uC1Tx6CLvbXjQTaC1nmg/7EnxuuLbsiLRXh3jlN/8WIsvcN80xffyrl+bXRS5IA9rFwr2RJB
tO3CWUV3b2Ki+SIrvrFIF6oG69YMmaZq6NdaHQeku6p1fa/5w97rtK0e53epqC4lJuWWv9QleG/l
iBp9G9x6vd/yVbzufG9rWN2FFc4s2GyimjdsKrs14hS4s7b5MvbVF34VY1YwdnNnoyxKAZG68RiQ
sPDclR1NHO1IrtFh0VwEPS4VepuRTschEdd41Rmt0oxx3J0ph89FXz5JqFsznmQm5PAroF9Vst2X
HsqKqahWi/CxQAxfxlb/XLXpLQBfpgbTNgl73jt0eaXcu1LwdLqA+4YbmOHHGtvCoCHfSNy9N4Un
kLGH0i4uhtC4iiskx2VP/GE+n4k9ogE/EtnpoU3xLy1jeqwRsM0tPS3T9x7CFgdt253KTtzCkNJX
JB3c9XQwhpr6ul36VSnyy1xEcPcbfTUyD27VRrVUX+ZMHs1W7GpK4Z7uXoqZvxtV0VMyFigfVK6K
YVZHzbTjkxbSt4LHkt918CmCxZQXLYPVBb3UAGNN09JvTNceUlnQucd7wSVSPqLHXJkKGlvBEkuM
b05Bv0g2X7I2PpAfeGK/hQPSZjRgu6NYEr6XuZsFi248xqKrt76V3RctsfTNlO0yyzinGdTljHAt
imRri7hoH2ZOMJpasUmWKhiwJbrRGAXGbK6zHKtHXJ4ZEu7ScLqYEAzWGja2Ln2WKP8UYJFvQMdM
dXA3kA42bayVAaNMxg59UOQcEmDg9oPmfRsGbOQJmqnB3ZIJuqEPxv7TcauOpmU7FeVxltGxleKe
WT1nDbjesmtWMskCLR61i9Ik91RnTsLdrjWqQ67Jq0UbH7u2fsGbgiun4/aQT1eQc9Ec6hx/70ra
/6cOl0DmbUKsIB3FB3DyY/tJjm3bgh7XTnrB4BgxW3arMYD59SLK8vGncgPJNmUoWnLafLjQ0eJ+
aKOhedAdZCfaafK+tgxf+8epgiC1LsDK/HqlnxW871dSf8k75XoVVrOxhKxkkg1twyF2gTosh8r5
lPZPSeUEv17ur/1BXhjfJpVDZWDQ+vDCTGbJXphX0XnQnmR/bKKXMn/59RI/e0VUyxTLLEOq1Icl
QqRQus+l9EyAcTruesi+eUxTOtol9OtNef3r5X7yimxDpXvT8aQh+TG4SukPzFmXyRkU7Cqx4NSQ
bJD9zWtCcf3xefhhEfXv7z6lLtSkcEIWSdt2JdtLkqPW/38v48NwB3IFPAx4d2f0Fg6mq6y6D9Fu
/HoRxlS/fBkfPpo6m7N6KLrkPGnWCq2pn5wJkWCDexS417qT2Xd/s+LPPh10P4jEgWcK2DM/vnFZ
4hVJmRrJ2W1uGj0K6vzght9//ap+toYFOsZG3W5CBfvw1oXC0hxvaNMz8A3aiyD0qmDMH369yM/e
OmIkacSRneOab/lp756AaoxdN0lIeW7rx9K5jLkpQnYm+e8u7Y82QowxvPn1iuqZ+rAHscX9ueKH
Dwt7FnZOY0bfxHgFIi3807/ZDBSi9d0SuAjw8LtA0UxYAA7f1w+bT1ch4Y4nozinl0z9DhyeVzAu
N+ImvhUBcedb4ou3v35VPy75trP+8Ko+LIlyrZjASaXnwcG/RSvI9NkUqv2vV/n5e2fzlnByCkd8
eCSchf64xKR2Dhs/MJGyePJv3jv17n/8dNAd8rT5TEMY8fz4YNdQl1H30fxyufrOnkm1+ZTYUNrT
9G9ey8/esfcrWT+uxFSuag3XSc8GcljvRoR3zfI329vPlwBxbZA1yDjww6OWGNng2UuUncvyJDBO
TWBmkBn/zVH3s68QD9sfq3z46LN2iCU0kOycZC+5hk9V27RocHEaZPKsZbtc/M1n9JeXZcK8cEHx
MbBnEm9/KBWIc3Lrwq3ysxx2Tfs0Optmuf2HD9qHJeilvT8YSpLuLXTa+Rk18MrQyKxJxd+8bX95
lt+WUFpVWMY+fbYfl0inqdByblrnLn/RloNDe/nXr+EvjzILkBvH1FDQeMMn9OMCbJ0uYQJLcabO
K3oEp+khgbRQ+q9v6/yrZFZV1P/dlb1+rp9/MtPjZ941ZBWnQvCwshNzhr1ryJJRrJq0eL30/9Wk
/D7T8/7DrA9RChE5+OvfJoF/NmShnfj8i6VGhfRl/8lMD8Q2D8Cfex1+L66DcC3V6BALGWqWHx+Q
tukKW2DuPNV1x8XGlDgXfGYDtZgfjLTZhWqKMhrNOqz7r3ofPiXOhPJkso+dCHMMKNqDPzRrXcxX
YuG6IWi+QFGTeEeSk4Oicw69s55HRpAYvblpuNhnk381WuKyKqqdF/n7PjVPqV5CHoOQGbQRsGwG
I3eOIEEOYcir5pRAH33qpsGOrlwHG60GTnHlNWIzm0qOqNEtsJKDLkY3qE3vEzToc2fmJ8GIElFg
OXAlHXLEZvMunNB/zcK/ydPoLhqzgOxmDDyCHmmUVzpTGvt1rKL0aln6+rmUrDOLYbdorQq3iECr
GftCy/QtaM12DcA+3kg/0QHbRfVFr0fZxqxJfu5N119ncRMkudj6Tf41wn8uKdFWJJXsAP1y56qg
CUzA8beuDlBkzPatMpOAVyOLI163dm4cwKQcLT1PLgx01WE5kxXcEtUcZiiaM9AS/ujcNUbiIE9o
ZaCh+kP40NpEtjqHckSbWi0+tuhO5AeGutcO2gyrLGXQyfCpi7z7VKM/kGjW3p7DVzbbEmrzRIPN
KdadSNH0VQhpNZvM1jjsmBkV+v3s0fBwJ3EoSrTCdlTfMoPc07V1g1jQhIuWrgmqpAvZzQZ9BY2B
NK7U3yYlKs0lTmZo0NhjRJS9tEZJg6ExmFlpi3nrN4ZHnyJDtoGOD4V9vNYYyG6HUXHVc4VYz5AJ
ktAEdj3y9DEYNS871DDZJwVnH4AlrRzTTXeyEnmzb7uoCu88pNcXZE9/i7QKUjMwvwtCYJMAVuWh
baL7TgdSp0tzb2u1DArpbLq4F5vBK9feUFbH0muvCF78Xk1lu7KXkWH18KXuwFzjK/vUmw2Ce2yW
AAbrL0Pn6QRzL5d9OV0WhW4HrZcizvVQx1eQs0dxha+Kr4T2SY4GiSlAbFKTjr8T2SeXWSrxI1uR
MGOmf05OT9btMD9e5g7zDN2XT0sdngY9e/CnmO1chIfIbDCbIcoMUqNJgIdV3TaJSxgP2VUcEdqQ
R/GGONCrMvf3UoAXH13tWxImDwh6myDSohg5p/7NSupPQ+attQgiaMuE6XloxUYztEdg1rRIpXdl
TXhyjNnJbpzMfqLMO3aG+81duuMs6uvFwOBEZM+qq8RpqirzqmwLkPRNvqld52hNbQCEQsc2Gt8O
kd6vsmR+Mt37TNvYs3esE2DgA+7tME5aWODafTK48Hay/IYBj4YHrX2sNXmbQhfCOEbMpWCA4Fhy
bY2I+pN0o2nOflHTHkRQtH1bOhU4sFZ57F/B86btm50SqNG9zadu0scZXFDmWbE8+c4gt5IAS8fb
N4LOd66lUSCH5rIfl4NfJ19p8QPUMAz0SCPotCS9k7n46rf06/oJoG3ZAIvU0LIbRciXuIoZYseS
GT97IYT6fNp1JTr53+7G/564qpT7v09cEujk83+tntuvzz+zEKkf/v3oxU/N3RQKmg33Q2FO3x29
OqncSDtxTjMoNWxKu9+PXvEfA6INCDRHHbJvYLXfj15SuR3OSA/MqY1k1P5HcpofSz8OXp/zm9aG
jbeTDdX6UPpbsaGNktHSdcy0pLuepsd3b8v5tyP8PR7NNlTx+MPRjgLGxp+E3Yk7rXA/1K992Nky
FFN/3S9iY5r197m2r/MwvRWt/I6SEvh6m6wL20JiqpUHTqx926SgAomadTSH0dJo7Uq33WsdXuo+
3hKC+k0Djsa97pJIpoljJBtXS5yfjMEQGWesbKxTxFxOmUNhxfAmBiJuihnE6rx0q1EXhwlNy/dR
6PDhCZ3kvE3ctW0n+TfAY8RGLEa+sZndMgmLtC9pDuDUz+yXPoZHJQ3c5CBAmyPRFJx0hndCjK9t
cq/94regt7nTUbnY9nhOp9Fg+lnJrdEiY5zb8ohQ8ykzzUtoKeTlFvPlGA3NPi+rPSfism7D5j4U
+c5aElgfuLmXpXzS9BF4qD19LzLtJCefYTKugW3PjBLTz52bFitNrw9W4z9lurYv6/5C1jr37H6+
mTIQTwvRCNHSrkFTXzSu+xwaBBXgGYLJpq37LHmWHVPrzrVx93r7PEpPGh1iNBco781HJoAXfu+S
sisu7bIR69YcrnKUOQ562LYmnoR2/aqy/U8pRgxsD/m5DdFodkt8lIn+WDdE/MxaemFr9j3gMRjZ
CxEJ1mLfJVgbg7ib4k3vJYc5JyxQpIzhwtTZ6Q2No8rJnnqbaBGdrRsY3iop5bAlgeyCMUvA/Pqz
zex3jMW10zmPnVxOWWLfxgUDjj4sdq49XAHtP1TzSFZz+jkeGDoX/rgHrXYJHe7OMSo8c2n+2Sy7
T0bogqrpt1XrXHiL2GpT+wSEHJy59DEcd48VL549dAKJuXyDzrthIBJAfl1b2XRZw4UiPIHpmz1D
Q5UgnAhfCVeR4z7xLcDVlD5GoVLzIGvean3PY9N8n6t07wFasq36SRlHNE2/6/CKAANL12isA13k
X5csvMkKYwHjGV2SKMoQgGHOytbc+3ihUKv7GDAuzE29KL76BiIeDXb4xltcQQBBV14kmObXWm0M
a+Hcpb79pa87AE8mCp+8Vt+edLzTjfSo9dgrzAYGjWgABBLPcTt5jM17PPZHTkxF27W6jZ+jNDYJ
T9qMHYwGaTqbBI+6jktt7TchHW2foLwYpwPGidqh6CzaAXF0MWtkGoKlSq6nNiEkuXb0NSl4/crK
6ihotYz5ByK8tY1Nj+xDTd/IBQxsKcPstvIcU3J91I+1owa1s7mSTXuUZM7Vdt0dyh6iAnhBwqjN
ptsjbkw3UdJfAq/HxZLVwLcAq4fT4m+WycSYYef1ppJNhXAuyU9urueMMrXuhqkxQoGwfhHL/KkN
rWc3a/bsb1cpxpHAxxaJ1V67DIksVMGGKA4cMQUSHfsdynPSPgw3zD/3jF/HAT0ZCkfYW5BxzDxo
U3vN0KEnNqM84vNiQzT4o93xpuwtepcubJ4K314T7nNLuePToF7kJTr5XSwwVOX6Z5ocXAH0i9EP
8105ZU92Ggo4v8qbGDpHg7k79uHE/VqPhOABp0aSYaNPv8+MAuF4Yu0stwJbQfJOEHtLRuZd0l4t
XnZtmfU+87sbo3EwNHbM/xnoMbUSa7a8g2mEPW5npz3k8/Cg7N2FWQQ9oIt83TEe3syjLHz2nP5i
1J3qqbSlxv6rgUGKudD0LRpypGPrtkbYi9agnQNc18OeFPRhxzxv3rH1x5/DhhXMPr8vuUutQVL5
F/3cphdclK5L+r9B7lreAR0M+T+Ve0+wCmAjO1U6QLNrMAOFIQ2f5t4J53uvFMuXJSwTHHKUpKKP
mLqO01YS6L2r9aHcwajEPscPooYQ/Zc2yb3t5M3JEuTJGHMqxXJvEzS5ysZ6a3lFu56L6tEZau41
sAXcGXBvddJn9yJr5gc9TjdDgi4DvclDn5v3Xt/44B2nAdtN2q6rMJ+DmjRl5lv6o0UW1Nqa7OZL
79TGGg4Inp6YBx1cBHfL0PpiTr68C00xbb1e80nN0efNr4/nD/0rBfnxmEEZoDoFviFHNdTe9ZwR
ijiWF6XltVQK1wmUkjPejG23/fUy5s/XwfgiFEHpr0WAdBcC3OPyuoAw2DnmA7vSGWH9E9tluxpn
nw9gzvcD2qfcy/adGV/CpVx5Znlkp7oUXPtSP7uBt33rNPrGivug94mXicJXTCHIQ/kK2AtMUT2i
U/JHXfeTAuanfzkGa5funqBzSefk/Tskir5KpJ+V1yMohGhGgwJvq/pNjf4y/Xf0inMsR1FVvq+S
3mI7/iySADqhRKOXbKpMYezcbyF97z4HYCg1Cff9cF3jIoDfZh8ssjNWethwbjBQVXP9L0ToVDe0
7NczTrPRG+HHzNzCQwvnZVowlF/6G6Kv/LuSU6mvhmsurznfElgSAgr3SlTRdUKE1BQK3nOT741T
IK2ZfbHcCiN/zmTOfTRKdssI/rwzALlizwAxZr1orblVcd0Bu5Kzmkk5D6rG2qVxm4GSwaQ8xw4k
SPMVSc7z5KrgP1wik5tfzYsLPNCdNSznY3qlxzVZPhMWxcgAOhj7qQsJPPoU9kZx34yC88OI0O7U
zJCdWu4dA9ZZxRFncD+dUzfb1Lp5oiEFXHOhBWRY/8PeeSzHjWVd91X+6Dkq4M2gJzBpmGTS2wmC
pEh4by6Ap/8XVC21RFWLUfFNa1CToshEZgL3nnvO3mvnp6H8POibwbD2rIuPtpQDgBDKbk71xxwx
RVDWJaBAztcaWSiLTukx8Zj5VgQmZZKKXdujiSqUicbJ+Jwlavw6k0Qkm2SOWnl8plYLgclds4Fk
iLFYna4K08wBuWJVNJfpQKrXnwl+//N2oOf6U9H85/3AAwkx0CANDnjxz3cdjesK8KhBhruiPmtO
R4hqPeZHE9OJy3r6FHXg3BlGeYo5+XaSty4r6hmfCkaTGFSnGnVndDNcsahnRmU/aHoZb7rCaHDc
yzhxDZRWUYL+ebRHG9SoXuxUNnVfKEnjk9BKPcJCJBdV6cHwuUYWPHlK3CHgwEjr9nWzesJIjVte
28p8duj8AgCoLK8t1FtTnamdCVfXesU3K/owLRoltxXmQ2qbexGqXxjggigSLANkj5nldBM66alF
1FkDC8iEHLigyx9m9doYx7Msja+bxLgCcrQ15/4B25HuUjfKgdkM1IKI27uBRBJ7jXXRAMcSOs/O
YUrPEveEVzvao6JJD0pMg7DpFy2IUfGMi0RLaarQ4bVbWU73DqZTnDjI/UZfz8Dj2bY4WPidhDJ2
bPNQVPP+RiP43oHa0VXzsybIstLa59LCFTxznQBfMw74nLxPrdLciEr3YyvBO15ivHKSy6yWsv1s
L0HVIVXL6RjUFDSVGXEu4WEcJedSNP07nYbVLUxfZkiB0gwZc9PYVyPYQ4p5anZQljX8eLZCPA3K
dU+sFWo2xKeSEgaZImAuo+SSkgsj1t0oxh6USYeCXRzz2c5WUGvW3YbImtLZ67qvKOyaeSg2Pds7
3ZLaH6Qm9fNM2qbCPizoHywnqV2hRCheaP+gkFQ2KT0yQ9gXoa3s0OwcItGcIvKh6u1z6TyvBVam
3DrRI3HAC9VgN0A5pNWIbYWc7uJanEkdp4ScADwNKfdgkW8hLkwjsDCEC/tYTBuT9DhSnq3xvpbx
qxfymYlfN5hC/RSoLZi9MAwPMMAsrzMUBeESdFUxLn5N3bCrZrTvs2ntMIMh+6+IrcBbCDWxVT7Z
2j55Uj/OTtTYmVOnzga6mrC4ujN0cN40wq8S51l7pnBi+f1+tI6wPu4UP6wMqxn0x/1IjeOS0wUr
Q1W90fkapyvaymX0QCL2719opbD/8krYa3RohzBG9I8TTtHRfUrlcaKrNpNFlEydl4TqjUE/cx9X
sAuyaYQgldDeVWTlzF7DEs20kjhMENEk+Ltep0jvumxfYtO0cSYOd1JSnVeydZ1TvnHq8fpOvZ6i
bvLLPtoUffJUpvq9FOf1VTRgrDeIANgWxnAwaNpRWASzQr+VEm9b9pp176jOdb2gFCKMbtD6faKp
hyWa90btnIsMjRHbNk70Q6aWPEzSCnzysCveF3WLNSHcixpAcj5h6DYKMCJY5XMRPTaT096rESFy
aqdFn3yqP/db/lzYf/xQ10HIDxt9ZuogruH+HO3pKV5eZvsT7dJnf//DxiFLOTUyyFTiYa7pd7uN
dvvJbfH7u+IrkeaHN1CYRSZnajQfDfUiwa3PxyTH8ydj1Z/HQd8+JcxnlKSKgVD/509psjoIKDrv
wgH81b/2oqAmuU0m65NvQ/35Hv/a/iIcACsCzS9K06/yhR/ezQxpRERLrR4pY17Z1PybfBP6UjC6
iXfvlu793vTG05erxIvvpuA5D+YXnuhup+1//6mqa5/tN4/11wv94UKcMXFqJ2IZ6Tf4ajw5mK6H
LemEGydwvLzdKFs+543iMSRw48Dx6zHQj+Xr76/C+Kur+PHu/DA/zxH42SoN6+PDtFcDiNUb58Jy
zzvdjf3tveGdoh3eOsd4M+3g/e5uQp/EnB3rnrts8RSAHHEz3/Gl02FXbrtzNKKI/vy7yh2Osjdv
jb2zrw5i194Wm+vfX/pKrPzlA/zx0j+cZCS1S3Jo5dyXLr6oTfdWb+obxW88mIs+GakBAPuTanvx
ehoMe9x6k5eewKA7SY+kfnoh8BH3S+jd/f6q1J+bn99u5O9rqLn+/IevNSFnvQWZMR/jvePG3rIj
VOGmhPTOJMY13dAl3dXNt/ax2alPNNKC37/+L4cXjhVImL8/Rx9WG5Yaae7qeTrKSxVYQhwWvBnj
IFefbErrqvLx7v3xdT6sOnZia+O45PORmtodxas87YT5MmtBI/e0oja/f1d//VV/f1cfO8pSweJv
NOlwjInbm8OrOrr8v73AhzOfNjG4NAsOUJAd1ZQ+oGP5v3+FT74Ya30Qf7gvpKK2S2vmQavqY1dk
m1olXcj+5Fv57HP6sIp2Sg7o0Ur747R+KxhBnSn1/m/v48MNNlRLN5RdMR/FOAEZP5JFBtHm4vcv
8sndZX1Ylcwwkmaac+wGJLjrThlkeX+uaYNnwQZKhXocEXn9/iX/8vsxHMUiGlPDsfzhJVHKaGGd
9MNRL97bdJNpMU2+7e9f4y+/nh9e48NDQ5BzJzWxPh2Je6J/f1kUn3QVPnuBD0si+KFJS/H+HmUW
bZrRGaTo37+FD/K+b+vb90fxozQ2Thj6hDn3MWcDl0nuCTaaM44I3knrxUF0PnyKvv6Qkv7rS67v
+odHB9G7hjskZo96oDFcsqqeRby2K56V02U/uhcLDE22biMAOebal5J71Qfrrn7x2FxoJ5zaGTYH
+Ep3pRdvPyNz/+VG/uNS+PHOSVohKyEPnXK+buSS221zfV8qnpttdf++dE9AdR3e5RcOZ+3tfIBe
8cnqtYp5frsaf/jeR6lDL+bM1BI+0DN/NYSZrnPI/Su0F6fadvAfYZi6JR3bTbutt59LMD+7BOvD
vkcUj6SXou6PBHa5E8B+N/1CQrNvHYa3aVcHxam1BSn3Hj1q3rTNzgnwevv9rfn14PWbPcn6cJ9k
gFD0ruTWbDfTBlCwm6xV3T7zbsY9KIBkLVqOjMbviffwi029tS4Gt/WHIN4T7Pf0Gb3+68Hsl+v5
7+P+0VVgSw6zoZIlpQn0rbnFlzJtls1ymhwU9xVD1QZn9b7e0dQ7nTzrNrCpDkC7brPNdeKvRcJ/
ioN/Rvdrt+x7i9d/ZlD/hqy9n4/Pxdu//3VORybiZvrz/+2//Ptffyairb/1fWYPznwlncu0x3Xl
K+ditfL8+18SjoY/GNQT90Wv1jD0tWP+bWavEXgGIxRLAgEcX9me3/3L2h8acE7+48+u5Cf178jl
gE/89ITT3QSlgTrAkWVYtAzWPzQBGhP8i7DkEBCBAphtyTPHU0DUHaSpkQ+l1YFgk+R5YDYUnyTh
/GhHCsuilb5qI9EnkkCitoOcXoxBo9H8kuuGFF0GlJEHUL26i9qRmBgM3B1tIqIDcUMmpuqKmnaX
Tg7OWz/IYbtRS2MNPEfPU4KAKsl+3MTw15ugzzt1PbboYP7aFAcjrG0HIREIxa9hY1lSU2+nawbZ
RASxREIFTCYa7EYSjgCXCEi0FZDVK9Fa0pBt4R4lJGommTgm7CwflPOa8LOO+f1CGJqiLYwLnFXv
e6pX+Z6uy35KwsUzTKZOC6o1r+rGwVc7PT6tdUbLtXSR0t24qkP70K+JbOaazcaODKutq0j2kkQW
zCbZ2i3hz77VDOdT351LGc0CEZFcPOuYaKpKBDF0ecdFGwV1J9Hm9j3T+uskl6/RYxZ0RfO+vJCa
bDnTdOjRTb2JajN+gDDqWT0Jcczd8THlmKyr+B3tVeqptRXRiWSU7AwkoWrFtWQaYlPbJF9atNj9
FkkTmGqy4HCrA3lg3LdYpq8qZXw+RoKo0DploAqCvZ+k6spEO+CYa+9upgPuMNGrVWSQiXQGWHIz
mggp5qHWbzuH5ZlMz3UQY2/QSiaMhguP0LcWKohVPxrhsM5WJXSGbkmD2euYy31SE/1Sd/HA0dc2
kaIw2kOT+vPmTsiKkBlBpkeVQcFGy4X6TCyL7Yk5I1Tv62P/z/q3OgX+9/p3/fyKGZnVr/p1DVx/
89saCOtHXudRsoWzBgEwpf23NZAfMWtnmvefn/Bb39ZAQA2aSUsPkBjSYUB3PzIcZGVdTcEKaQ5s
5L8lGUYf9WENRDJMW5Krw2TCgvpRU66lY9nhSBbnU26vvfKE+2VkAFuna2Tv1G/gEHQaHnZ9fBRp
cai7ifmBbFtMw5PEC2cC4cLSVoA5mAEC1MItZhr1ppxIB7lfno1QXRjy9G/CbDoc5rR36zy81gbJ
PCPkCkjCqDWbehqbo6loQRrFdz28FyGX2Hod+6To1RO9Vd6zab4TcXFi6dl5k7c+E52dk4BUddIC
OUtBdk+aExG/zKTNET/csQwxHtMN8y219FthSk/ZKL2JcTXmgnD2JkHab1kVX1A0wayQpWMvs7hB
xQFSnqH6HR3O3jFWUlqBCvNyYilGQBf+MFd3cVFdqmaEU57JnTXrg9cMSDWidjtEZ1Gyxxl/1XTm
mZaHbwuDtLm8MJVa+PBwGL+bmwURTQGaM1TD17g0bkYD+qWcvs/RGlmbq5c2AAnQvHSAx6hD39nj
0x6weA55nENzJm6jcZB6teZ8XUBe90E+6DsEq6mn5XEbyOVguUsFt7VI2LK6kLAOqTc7X++jXRaj
BSkkKthBQj+m5Ko/gQ9001lnYUqAShsVIIG2YRWzSML2MlupTxBNX1VAe5HLVPIWreTekJXEb7U+
2TBiMXZD6MzZXRlJVnSmdktxT9QB21XOas3HNy7epJnCHadEBIRsvXcOIUjxeB73UAK1ouutsz7s
O+epxZX7hSQBS2KIidKV9ihahM5Uzi2Z+VkHmdWL1Lnc1LqozopFTW6RBd+1kEB2iAGeMmBtnkEm
2rnQUxW5zsAWO9s3Tin2WoH3mNTIbY40bdcqyq00hIo/yEJjJLKU21GAXyr0onGtTi3Pu5J0bZnP
UuvGsymeK4KfEoZhUAWJ38ini3KGK2gPor6BlfvS4bA7WJk6klgdv9VKzDFen+UgcZSjBHIKIT2m
nUIyGLQ4/bBridfcqa2ZXzdmkwOEsMqbTJ17UqKSGAl0fVPZvd/3JtOAYWEclRi7yYSpNYRSysxn
QCFbzecCWIYnaWj4CuI2AiNRxaE3FbTJCRmk/Sw/T2HtNbG4I5UdSmEpz27FuNmPdGd21UmX9pLk
iKcsFcItlyb0E7svt0SQZK8ZO+AuHxhlo3Q5yUQ87UY00AFarlWFgogZw7zTXgpNCU9R2oEJHOdj
B/UMArYEh7lKeDKLkeODbE9+j0DsTLIXtHdKRgMPsUTwz370J1KIGvl/70cX+fPrW/vrXrS2wL/v
RV/RQCx5pmnIv+xFWIvQ1Jt0f78aUb7vRc4fjA9AzsnoTtGlrqTCrhr6+N//0timFAwsKF/x89Ij
/VsYfnavX/ciZow2ug1YZqt/8+eyZZwFAnXdEogzx8zTe3Jvx/nKqkZAxk50XihN+krJV0Kr1m5g
dBNUr0mYAizxLsXyRsU25S4a8/oIbK9c5jZ4HgjTTIpe2gg3w5QjhyNA70p38mgrA5Bm1BmegeSH
WlpbL4OWXJvjch9jHPDUHOK3WuveRPDlLrPqE2011RTWGsbhlJslV695LV/0CgdekirI+5gZhNlD
6oWLedZnzi1JBCjKs+hL2tlnehteyvp0HkfdrrJIRALCcanGsrwhHIG4G328mFSrClaXu2upADnh
AayZ5IhXG09rBg4YOmGLjNt2CnikjdOz9mQJD+MAgyzQsnBrEsCDhqGgiK/1G+SD7jg7/qBpAfof
2HMAxmCwz/tFgaDZl7GNrHe5M5wvRRWiR51Wc8QJO90DGa2JV6eAePSVgzzMYe6aIxuqMc1vo1zt
R8XaWJoE0keO7yKFQwcAWC+3czjsxDZhH8AMYYEpso6rnSOq2rtKMl6GYT7AEttKGbpXcDlNp+wJ
7bxUZ+DvkWFe2XxCYQLiXqogOuf5sdWdKzORX7JpIX9Xdohkl5FwOpa4LVT9MbWdI7U+VNWx1Df1
oOCSnqyDkto3hBGUnrnId8mY5q4ooapr4W09tceaBPSoJaSzy3PyG+KnaZRuam04neLpqmd/lk3p
gc3xlWwgwzWQJXhtHbGjglRjnNm8W/N8LQ9QphvdOeNrOhUIcDij+aH+rtTojNSVZT8sm9qqOh+J
53UVA25JbawfkbVdUrQ9bVk9aaX5yN43e4Cqn/VBcH8pDW6QiDV+7KtTZcy/hNyRTqsVvk7YqZKb
J4M57yqz/zJK7NdqrK2z5G3EUYQ0r+aC0W4Pawa8P1aJ2GV0kfpSTFd81uw1yyq7S3s+pKUES2jE
gJ70Qr3qzTpw6gLIS9E6ATSO+iQEanFUh+pu6h7JNNV45h4ZLSOWApgYR9QGUPUJ6Jnjy1m0zj4k
OhRcYTdtYe6BvxuE7g2NQo9wiImal+p3PEi9c4r9rAc8GIfpHPRF1iy3o1Gt+NpxshEGRWGmX5eh
VoOxiLS7RE+rQFeGa+zXiHJmHXSQTn6uGP3cTjlSls6WzKrOlxTb9mFO5CcJu3NQgDUJaqE9VqOR
wmngcctjbmliCmDcYmBJAHd6UlL4ke1M13Y9mW4Vx+dTvHxZz4KQt2yfHNONLAak3WRJLwR6ByUJ
2z4goE1uWcdJ19HwJLBD7PvEKDexbYToleON2TNEt0F/yURYTNVFngybepSg1Evdoao7GgFjf6LH
JTmj2QT+1bzm01WI+SVIOm0vpma4dTIE/OiNvCgUL52p31WV9lDIFlhHeDFpTnBE06Bex2V6Z8QT
/a4FR4ytKUcRjo5bCsgqWZyfymLZ8n9VwqLWUO7ewHpj1oiT8fRq2fu8NLd1at3VTXJGo+Gl5TDg
yYV1bvbOiTlUMmV+rLlagwIf3ojkyaHyIk/pFZrCU768hvobQGCfWbfFiBp+ybUeoK4dBw0iZnOR
dMpnh75l1vhVz8M08+hZyxqYre67CIJyEuMEGlgFVOVEVqxDOPSnEOSgqoBzISrUJIF9JEpDSwpo
mhbASR0JdxBm/ZsUE1hQOQ36nsFJ3LqWj2XoMHbOh3mnlsrJEoXP0lycxtlyK80aMQLT/EpcS3o9
w/b0WiF2dafjkwPNhpCteRUVejtpdeVVRXmb2OYhruvXhIxPSk65uME2tpNK9RbEVuGFNd9GboXE
f2Syb4cc902xt4o6JNd7gI3M7lD3r46KxLArcu61rhhoI+SYIVpQNsoMYD6PyoD2WAe/aC1+1a+F
8D8V0deKaG1W/64iGorn7teKaP2tHysiQIma/pXDSwboT6dznEYYKSET0MNci5H/nM4hLK4mJE7h
nOj/09f8VhE5f+A2Ulc7EPwr+AnG3+lQYhz/WBFhKELYzlXQ87QhOf9cEZGyXJZwp5Rzg9StbAdw
lMR0u8nO0jD39KW7tOPlnu4Xz3Ofb0Xk3JM0zuEuJgEMjyLa9tpNWGJaunOBVrWX5lhByJYPQ0iu
QjHttanzl2FnpNJjFUUs+qxi0bmSOtEZtk/bQ0XocNZeSIbuOL2ZGDZyHRAEsZIYJ0L70dLDnJJF
IitY9I9LVeyEqiFaNMaLRPSMrkF+83P5sIykf9HvOKPtAR7Syu9KaZhBJspvSd29I7H8YpOjC50+
wwyiTteFPbGETfqjmKX7doHCPS2Nj/bRBq7mHEtzng+Snl3RxV2BcgxHJrwedMX4h2H3Tp9N5x9C
qh8VBPBA2VM1Afga6qpfxC3nmUp7lbMHY76IOyKwO+jHhmjZpEHGhFbf+iyhs+4ZGcgt2reE/fq1
hgGm7bTeeVYSQnqCZIKIDGI9ZihcZjsQEE2Ay2Bwe32qA5q7wqX5PAV4oIjRnudsr6ljC+k9aVFb
R6K/jOcG/v6St5djpaWEVUIoYV3ho4IW7HYtTdK4IfqlKDMMFo35UC0tLeQBwq3e6rZbVUQv9esW
i6GpCEInNLamJeZL7k3dTYdU9lOO8HFlVidOvqCoIxzwLDRkJJnO0J3E8KW2U0tLuCRdpvMblah6
KdbCrZIN76pT2aS5N/Q3sjDaoQZ9Gcl+doGVEtBO/pyrNHQzk04CwCybb45UIVomJgS1MLdq6+j7
XB6InjHS/MLWMFQrXUnAjzQngaOU+lbPNThdY2dsSSV9KybF2RLuSPJKK+UX1lJFJ3xybB+hKJ/t
Vf2ozom8C2UAHh3hNnRQ6dEzycxwZVnoGIpWKl/qGcJQReqU261i1t6W2oOgk4G+cmi3TgzkCEKe
tq174kT58nRk2sY7mmuMW3MMLU7XtvR5JVoy5F9vESZSR5FT9iIXFCqU3phoi8SC89ea8Jz1MaBY
UiSusjRh6w/5C89cdNJixt2JJSv7IAYkhxhJsyecsfhS33MyH1CRKuplRcHnA0fpDn24yO0BeScW
rekml5SIAKycmGTNyTZV3tzNkhN58kIbocIyh7WZkIexe5Si5j6vVs2y7dBJLxaIqAXCmFS2kHDP
6Z1SVhcpBpan2YHBqcZRfDoPtu3qdU/W9XCJGQwdqpknHlTWZu8M5lucj08MJzYismNvcqR3kfZr
pGbyCM76JNfzh8kU1pb0P6wkRbsuIs4ZHwWWEue94jmV1i53X9g3sm1cNEp8UuNncMu2Olqy/qqa
zv2YSxPttumiX1p7D/txhwzimvbObRObYSD31DPN0ALfnhMSvpN5q6kLXY+SYscGfybonbd2fBXJ
reFaEfkQA7L6gyEvz1NKzKco1V1SxSeZFZ7bGlLZiYbZzKmUJwW4MxRpSpokB+FXOslLapflk5n1
mPm0kb6XPtD0pCA7McEluToCbHqJuMI6ZNWFPJSBqTUXlZCuza5bAxiz5CQqmYpPNFaCbBY2l0TF
N9N1o7vJmhRWIrosFIdagMflclgfnkUOOXatL9rXRhykZMJt5a5OrvKorX1b7SiPsAtsu9TkQGTQ
ea11ZQ6WlIMbWMecFcaat9Mwp0HYJZqfWIUeOEtKomZrvDPoWfxMX/YkTZ7LZXMotPQUakwRoLlW
iTEjVlOTa0am8GY3sWXI2zykG6bDxN6p5mSsseTUZ/lCJHmiblVtYqlPudq44KlVBbbNvATmywgM
/0PNKiU3obIViAEvDZxAawJERKiPYm6lFAxFWnCobaIeqVgBNYBlanD/KXX+LHWQNv3vUgcf9f9z
38rkL4cR/OYP5Y7hmBQt4Ev4sz8BpRX4JXRymAXAQkWr873c0cw/CGFU8Td/K2m+93/MPxSaPuwk
Jvw90q7Nv1ftrKKO/872VxmpaqAUso11GksR9UH00Q2zYQAukKChF6mX02RIQhqSuUl2jtJXxMDM
2Jd1zUvj4pIRhEPyMdZL0WT3Yu4rP097IgpIpWJyl3qyaVauKubQbxpb+EnXvYhiuiNu66mWm7N5
0PYM/OzTusjbAHsPcU7aLcCNbaGQMB31+dX0VXPfaK9M97zRws63moQcImBcTIKc4NP2Xp6s90k3
p00q6utCTW8tZT0sZpyMBslagsJpHvShHvxEqQnxIug2jWqyfiuJwC9SaRWp3YpMoq0e0gTqBiLf
FvDNPkgEhhmCwswPJ/2pzkdpvmQnt8cN1FNRaGxwPe1otOU1Gacrt90B4M4s1dnUK9N9XOnuKr1r
4K5aMK7k92xFwK8seKckT3qlww9y+qW3rDc2VIdESttwtf6Yj7dqh4cjXPnyFAmciEDOWyt7XgFC
n640esTdajBP0D66ajyYYdedNHL50qgxBr0yj7GV0DVhHmMWunrZZBE+G1YYnwnkjYynNrOo/bqJ
cxOzmodSr+7YUCvG0VN1yuhn9iTLCUrLOdciTIJ5deyUblu08SZ3rJPJCB+o2znTZ9oMgTHdDKUu
7xXO6W7M+w60foJla1Y556tF87ieezvqk5ORxlJASC8MbCWU8EpoxXloyze0rYj3qi0QoqZ10Iuk
z9xeNMkdCQhqHmCwMM1AEfbZos6XckdQkmzi98BjSyO8lq8jOnlh0+LyBOvcRA6WZ5VEIPPSSK19
mC/bbCQOR146f+yjm94uzidn3KqTCp5YHj294JsXpASkxrDXi/Qew++NVRGbxlyDXG16a223m4bo
BgvWaSuS67YYHpKePuAEHzjN49ozwV0QSaRtp5GAOw7S6uqrPDUx+Bz4ylOiftK3lK1zbLk2aY6M
QNOEsSOfj/KTnXwxnkhmCsI1Naof8jPOzlc4ner9TBDAqSbhMh/ESyl1QdHdtANeEadxLqM49Wu2
qbJeTlpTuZOdVMBeTbdd0u6Ip6ZUoeRPuuypGLDESRa7YT8zT2lqWq4R5BaJIKpmFs9OqFSBXAh/
MZejkBkM0VZRmWRUneRXykSNZLxotWxiTEqvlyg+F4p+37QY0A3lLm9kJZDVedOUa8xkJh1D2dmm
RUnQEMUNjL6XMSQzE8LIqRPNwgUhdMhz/pniHEQ/9K5oi70dDafjiqLViyWYJk07sSoDNqstcnWj
oI2hnSiVxVUsI23BXxg9psRPlEZKB9iQ32nv7LJkfOwcsRHOGEDX2aaa/dQDMS8GgtTx0/iaMhAa
qO3aqH6YrbWiXeePQjdPbXW4spUGI8Yk8Di32kMytHsBYDaXxhCGvH6pwYwGAXWpUrJ48zKeGaOg
PjPKbVhSRMEh3OFb2yZ2dp+q2Wkkd7cWNGg3T+WrPtZ9tc7PYiqBTB7us0K/bhO+i6IeX/WCR01u
z0iSZxJcDPtopq2NxXyXq82hcdQrbpKTaqDHF7f9eRfi/bII6h6G8aFQGxD6er4ZO/miysWBWKOD
RGXhNkLa67O+k8HH9eSaFovYCRjRzpKdYsrd9vly2Y8ZioyiASHRHqaaW9Zm+lZ0+S3Bn08ZqHu9
MfZ9q791en3COWavaPHd2CXXht3doBnPKV3DzWjEe2u0XzIIDkoxkCdfVPtQJUW7L0/KReUJUwSg
4+yQgIKYcu2aGQA5LASBKlUje6kp07hMNmVdnxtEWSWW/f5PbfJnbUKt8Flt0pbP7Ze/DLxYVVnf
6hNF/0PR1ipjBdJ+rSe+iyUU6w+bTgyiCCAwf/JfvoklDH5CEYLzhLArE/TefwdU2h8oL5DCUKFQ
9KzB038j9ALAyIcCBQXCGhGI0wW5hKrJHwZUzmRItcPtd5QyW/WNseiBQ8za3hyBSo6txs3UNz3k
WXOWLMuLsgU9RCiaLr2d0yylNIdJfyxbVffLhngumRpYHi8nYWOEHBDMtbEfTc0ClX3KR2BSGI9s
m+ROjYAiWBaW0ix7Ggpt1G37Wsrja7snvLU14CS5pWTJhDtHS3pTVOzhjPpT1cszmTgDBboreUBp
vKnrHMUVyrId2TM0xY3BuisVwODYgvvxri7wZaJ6qpfZ00uG5J7UNaWXabV9oWVjzbSiSR8lozZ2
uJd7nMNjHjKYVyLbpSGfnAEMg0hfhEsReXZihp5TqfsykguP08dwJktWcbTMcrwqkMgFLQQC3Uus
ctwNUmggb2jsJ5Wj2eI5vVMt7FaDienQTrCgpoiWr+jzk+K+9EWyI5p0eS1UiSz4SJ+70ptlNkF1
MzhGylha14as2tuj1m+Nli+k85NJGh/7pFUUWg50b/SUVIkyoOHDwC5gjVjG2p2FtizOzok4nUPT
b6OthY7lsmvH9Im5X3fpWJ1F4rSpoG1ACXdTrGZWravFBQOuwboopWiUg6iTSTaNwmpo9rGqDJxB
EzV9zJD03UzOkA+URgM0NVHKSb6TtbK3XMmuw3TfUL1NJ4VFDsabKezozQE7sB16LdzkSVw1buJg
++skkpQLqbUYRyTdQ6wpdXveMMZni+r/OVX9KVZlPfjNyvU4vDz/2j5ef+fberWKuzgqQeRd+Q/a
qn39QdzFYsQZC5Epwn7rB3GXQ8abg+zLQhj2Yb2y/3CQvAJ3/c9h62+Juwj2+bBe8RoQFzjXWayO
ACq49B9F/nnf9vJUTfJ5n1YPoVPSGsw06aDCp2Fcq9SXBlSDHcWzc1wzwTZVhbW47/STtiKmSpQT
NxspdqdtuwyubmdrmWqikSFFwJ7qs3aRvHqUmYLZr8pILa8WAgnOEFLDib3DQCSxatmvE1h4HQPk
0kF3hVDpVjBG0UHb3TRRhJiHEQs3+qEa6ttWQaCi4z2Gote85utcplonNLQUd9M6s4mWKi4vCQcm
AEHXLyTNPISmcIJeyCHRxRK2Q2UFLOTNxRz2z9YQvYYFKcsIhngo57rZ26XD7KySrnrK/gsHdpZb
mDEPs0YfKaQk80NCE8HpUeaXId3hSW+D1tG+dIl5GRvN0e5pkdZx9pCo2k1fObUvpepbjZYlCJfo
th0BMjfdfjBpIBaLsgNt/EWWs3LNwIEMM12WcrrSOx6LMjqki3OjpLXlGgtcwFaVb9AXM/LnS+hj
GIZ0ZErMm8bzPHSIn6zuwab569IkUtzGMH2hyxd2risgppLLxBkVVyqAWpzMM6inuSQUp61PZLM8
2ktyGOcq2mtpdzWY5K9Mhox4vy06zzJJJDBzLN517ltLhrpMkgaMnI6KYsJhtyB9uuJ0APfRPnfU
et7mxJK6o5nuCYxzsI60b2oDIZIGY3QpMQ/jLGIw+hqzYzOr73llzIRxmzA541R1jmjUaAKViOfC
DFgFxuFsU+ZMnYkRP49JYvPk3D4XUkXWuunIEEMqqF3/n73z2I7jSLPwq8wLJE+aSLec8gaFKniA
mzwgCKb3LjKffr4AxRYpqTVHe/Wumw0UUKgMc/977ycsDnHloW/M64rmn2VvYaoFWARmHY76wrAJ
20vK7Aej/+xU0WOaUlncAEbhWgoa3oQ+gDUYglOhIErt/OhCPjKC8kseBtse//hBFNqN4VXfREQl
TSS3fS29ZZE6zVLvGvZ5BuGVkx8ksBoRWufJSM9sM3LpZzRz6mXypI/Bg51zD8D+QSWX5jJ6CekV
Mkwo2iadJF4PR77OuY/p+m0+dQd9jLd1mtzGMXbCPnsZ9eYLhqpyaaQG4fsWtFST9jj9RpwdenGy
Pd5cW2gHBEQSEDpGkB7j3aoI3Su9Nt48WsFWbTc9VZDGF4NBgBNcy6LsEGVVhU6KyrwcCv16zMYv
Ee81SmZFD6MT14vSrJ6tojr5GEscr9wkkdXSHhO8dfq4cZuagrRsrJfSpa00pU5dTlB5Jh+bSjHZ
X1Uj5libGNy85KoOGnMZV3m6pKaNhpP2s5egQDJVNdL50aAfip8PV7nAVj36p0YW2YofeBXOw4jv
LyUIL2HAz/pt61ufp86vzqGIgD5KTR60dNL2ZT4iNQzx1ZDWd+TS36MqvfWcAlI7Bj7UbSto94HL
d5mbyN7lrlhTC9evEkvL9nlu3iS6WSwYujnUorQzhhM4IMQVcaUjB1AB655p4Mz48cpsBdOKvpNQ
3qDp0x9p628eHprvMcB/rdSqiPjvbwir+D38Kyc1X/hjszWcT7pnMC743pRssKP+2Gy5HDBy9Yif
2wxKP/bhH5cD6xO6opI1f9c1f8xqzU8ooZZF/kNA5P6H6uVfpUmERfuj6pPk6MsU49fNNuZ03UZZ
Z50Mz2F0QXtWR9lI79jpIY85JJpLY5hd5n5Cr0y5ooBivuuxXdHnhL7SJ+5rGgF37sj/6fXnxM0M
4zIaLTXMycC+tWiHwj/nPMeH0OqzeF93k3kPo0+z90arN9rC97XunAdWcEgnR6d3Ad6qcRe7fibo
c5iz9s0vQmc8NVbV2DfIntvBKbL3YKiZuhZxjxwocK9t9YTiWr/24uG2q6duL2j2wls046JYByoO
MwuXLcitI/1oqrhMU9eJz3JOfXIkfYpq6qZb07IVH+1uEldBMFdoCeCfXvu2YKcVdYArxRUoP+QR
+ktksr1NxWc3Dd8SB5XGFX6+rBz7veryd8cvYWoNeS2+AvlZejr7YR2O+2LW7U2Xaj198aGzGEwd
P/qY9gaVxyOzJ3SfJ0OLKyonx+BNxs6wa63C3EdaQMlLamLqMxrcaXUv93NV1VthE8FpBo7PeUr9
iO0x9mP6gtcMkyB/3GrlkKFoxzZYeV1+9HpWeDto3BOy9bxPBWPLmPqfhfCjrRuzWDahyXBy8hJy
MwRG3CJdVZ7/7olI23rDvMsMRBciQdspwLOlkWDG/tQwIBLyWQB9WqXjTOuTY29Lw2cx7KjHi5rx
OrVkB7SM8Z+f2XLV0IW1TrTKPNNYnd4RS7JuAYMX74kumkNex8VTMsDfws4EOmtIjh8P67+rlvW3
hls1czm9du9/tWr97Lk11aoFXAfojad/BN1+rFomC5DJiNeG6cx1QGdQ82PVcj8hW5iKrelAOGJV
+13ScD9RME+qxzaY39A2/48kDbUm/TJxgTRtMtyhK4010vyjoEHhU1/nzjSe9fLSAE+jGmz101KO
mvenTrZfXsGzUYgcPqG6zW+oDMTK8/tTzpghcWr1Li2drUgOsfuo6WffvmnFzggu44Cs/93+/V9L
v8w/pPr+/Iq8dz+/ookkHiNc9OcEm+cCPGbnL8C7m7gTw7Kllq/0DkNHzbWT4tdrnY2T4NqoA/rc
MCR2LhmUwvksTd/cOxYS58RYe2W0JS44L7qyS4wrnpkuq0bHgZl+86X2rJgMpWEK4hJYMpOQUsaC
8jM6ayMGBNTe4uiMw50g/N6C3dvYlKiQYIvLbTBJusHw5i3chokza1pDKCTmIfaWVR/fesNw9G2r
XLjxcKXVAX+lBERTgJWzHruVmKhzo2swoLt+Af1xV5bGZcCwh5K2L3RGN2kSHktMs72lPTRYChZD
8XmYrYt0o93gzu3a6Npt3OHEqLxDFNtyETnluNGqpgUXMJ0olZrv3A7NCZkJkeWuZDq/c+oKOaao
d7UTad3NXAn+hz5vZHnOQnHVMX8A0zwjEtElu8p7q0aY9a4cdh9N5FdMWvYyZSfyA9r10utpdp6I
emCmQMBY4NfaNKANYZZ/zTCUrEdbnGQlDrhqV0NaXXXBuMZIvJ+s+KLjjS6CGm2HDuBJXoE2K1fd
nOvL0B6P7aA/1ZAKhGCalhfzg50xkQ7yCbZqX1yKtKOlnQV1Tg860POFrBxCCR22HQ7+FLdzqcUS
kq3bxH1gv2XWounhxsyrft/3Y8e83MSDFdfTVTaVdO155jHLv/raeBaRd9v23C0NzgSLKKJ7psoP
QRZf+kK7Gwfsosjki1KN1GMfAbz76kbsNYaT3JjhuPb7vMeoaqxoO1yJZLrp+hLVpyJaMort2Awb
nQ2ic/C4G/qqLMu7uRCXPKjr5SgZyHRZOtzKKbp1AmOPPX3lVd6zSAsO73ZzTxcYU9S4+VYwdMwD
HzMAw6uZO7qg5x738Ls+hseid1a14JjLCrY3c8XTtuK1o41cmsIL6OqTsBN61vOt1O11RvtYL4Nj
28KAtZEK5o5Uq3YNq2JlMghgobiZGMMxZwSKaolgQ4TpUTQtVnsNYm/KhBJw4LRLRwgHTUbAJw5J
YE7aIW3newQ2wmJZdx035V0yYGtKuOz2JJuWvWe++n3ymrjeqawzqoETWBAMTiaMPSNhoGDwdv9u
eh9ivtKQ/vtR/X+zKi7e/yyKqa/6zzkdDyS4E0exxD6ck7+f000CKLgj+Y+ACGgqpf7HjofypdLY
Orq/95te9uOc7n0i8aA0fIRO/6Pf/Z+I+B+Jxl/2PLwMrs8P6BFdIbfCPeLn/SFs3DFhKpedNaN+
CWP08xnHljHZ+8zIEWk4lVLEu8aDsNBhL85WeOVP9fXokXEIxpwpljrb9XihG7c3N6Gtb3T6FkdG
Z2vPLfvlEE5XehesHBgVi9joHmPPrJaZkTGphHQ6aM0uS9vXXLFXEP2/st63y0pDMA9teZTe8JVD
bL3knj+tdKIbzjRQhjwV85rIQbaCfayGoX23dMk2L8mXOcuuLKZNUU4Xk7MoJYfZsZc2W0PYPXNW
lKsWEGWpOweUR7wHEgplOLS45ZiA2RHaHpP2y+wbTwMC1iLxlMst4jHPXBT+xEnwuIeYC3J0EgoA
93CUN5NbBggZtCKbo3yco/DUucWxCqpjxO9ESgCLVW6at2Ocrkid5+u0ME+BYd4HPMMbHNr5AmcJ
61RLrrJKNe7rwtrl1kSm1KuePLvRlg78ZCgtNheU8A6UbfVZr8fHaRbjsfPac2WxdWUG3asJ0CgZ
Dvu4SLd5NToL0dvlQowTlVlWYGLZ8yBomI9W3VqLPh7PVMM6a9SheWXac7iefYqlw8anS6Psby0t
+mpnQYkvA6xnn6ZHyjk7+Vr500ZUzms7WeWWkvEtfkkIntWYl48UCBR3uPWq9D0O56+jjG5nizuY
21c4KYCPet5rYyTXAZ/vvd4V+k52Znk2m8A/C4igh4kIn/DpjhxdZ9c1EyXkkU5fGgm9ayuZsSbE
CB6gt9wn/FUrN86jkyXL93oezJ1ehqr6l3DC/K/0/136F8zu/vs69x1Mscz+GkvBl/5Y7JgAmJzv
mS+qThKVgPuPKMHxHs8UAW3LRhD4ZbGjF8MDgsjJ/rvxHKPTj8XO+YSMYZm+g+X8+0jhHyx2f4GN
8JQPSseKzqJLbPwPh2HXCI0sa2w+aR4dDiRbUCFGQJ8Sw/TClKFBkWy6ybDRFHnBvNEvopcci03O
KNxjQl9ivXEZYSW2dp41XJk0jC+zxC2v4AiXZ44QjxMGHs9H5/dalVnWuvWAycdpAjhQHY3BH96f
MnFvZGixujRzUulQHhy9XHn2qK8NqV+DEhpwBYhhG6G0LVObw1ehdxGcKWrmk6aiHnlaGR6PalDi
0tFtxhbOmK+0QFzLqWKpm/CGkqOgn1UteMOgPwxGt3JJGY0mLaadL2iA1VmV7MZ+c/g9kQn5vrWv
BNSB+LMuR+zhRfLmkztfTwGKcp8jGWdTtOdsFeyzihMQVMR1WWj6ljU/O9q2Nl4FMZoGGRXaMZvk
gc2B1pCso2QQAATJ7aWtDKzjjAXC6e+buMYxm9YPjhueqxorEjacKyGJGll10GNCK/pVoVGUi7IP
GFrlwNO6P1VVAjNrKrMNvfpkmO2DXZiPeTLc+thG2ZjI1szUNbsWDKMpjb8OhnUKi/l6NqGR9y7a
OdD556zD9tSXCtlTXfWRB86J3CeT6n6pzagKZRogkpeJtai6xFplprNPOucmDSaKZ0ew6ybLZY28
ukGcf6tN8oim3l6bFnb0WtuWeg4qKT5z/TpaqPNLyoOO9cBnJujbSx073cJLeWv0YerXQhE4inDZ
Jv22rq2Ta0fphqmvtqyHpESdoQi40rZNol1SWbanGUWNvx5Mod5zbk3HPPlUea+bidI0kQvagVM2
NqucqdwQXbtOUt0lQBSs27Bl5iqjzZAUp1AEn6ca/nmmeduwtZyV3emPokZys0CbG1mymurOoQ46
vAlH48qQtEaH8rpu/a+I8Jj4hpb3sHX2Yc0MZnbsq65vzzENzdpNWbrZ/D7JDFp7rmAn1SO++Zoc
AoQliEqngoryQ9L5L2WKI8duvnrVhF5Gm8gcbrh3YqYaD36nbRrdPJZZdB2X5UEm7TUI78tQAHag
t5r4etCPeyewv82O1nPjHBkFxD0tv5iZh/nOdOZTWHODM+jf35Aal4vRcnhdsa0y/Ibq3gdzA3O6
dWnsl1bdC/Pefyi4kUAIODZmwyWzs/cjV8mwmi/9bO6CIQagafc3LHYEXruVCUtpocU0nARcTK22
u8LVUeKW6hjlxbeu4ap6iLuZxCV+ZG63kbrnmg1wJZG7xdYPDS566j5scTGmKSXc1equbKpbc6nu
z1rPJ6eoDMwN6nadc832uG67ovhWcv3O1T2cpprHGQXVNmDBSXVXt9WtXW8Cd+Em1RcPY8EVELxT
LInkTbp+yUvck71bG2cc0O8W0La1Po/vfUtymEPZLbEPKDDF8BmoyaYW+vMUuyeCrRsKxIEZoAws
PdEKfNfhU8EsH5mOu4o3bYegXOlVc/Hj7KjjSpzVdc2ug+vEpTcidtIdxzT/gGL74DEk5ZVhUPji
3tBtEzAFSdG5NioMiolc15p5kjwGF7f0b7l472QmiC9mdCK7mbkwq4QqrpJIm+124G44H3RpK5Z+
XL9GNeHJbiLF6GTZGr/Et9B/iyv3tu2s25T3hH3AYL5RZNwSvQsNGxs9IssaDCnI8ICJ3zCPSKlD
so1qkDRxkqGgdKDG+HaeR5LPVmx3O7xmlpdiY4iHo9CMYs0fdNrZNLurYY6RV5hZGCiveq/Y+RJO
BnfzcM88ehlouBasY4SYj+XD/YylMt6zHIM2Zx4UQrLXovrOjAk0z1OzDCOnX0uKLBZ+2L7BrIhx
pVhbdE8MInXN9BHvo2lWQOjlldDbhDKEetuDeLPT6nosYRlXxngOO3mrT+UaJsS0weVzLGt/BxZt
hP4y9ZuxN99Tv5eL1nVv8sglNqrMo//eGz/ujYJr1P97nkIs//PdUX3lT8cpG18N1V8OJyDvF4O6
SQ8BfmwMWD8uiD/uju4n5CxP0R8443BLRGP86TiF9kh8Rg1kPsoL/sFxipvqL2om38nTqR8jQsaZ
Dm76HwGbfqDRM+951bmQcbkBoNeQmqc/JZPFU9xYhMMTJJ+W8l/2eNKhs93ta9v4NrAxLso8Hw8j
EyLyeXBCOr3fhWW4phIB8lGDvlgWVNWrWEfiJl/GoMHXzdUHxQ5DZEa+fe3mtkcR7ORfojp/sBvM
v/VoTXzM5ytqUB/CsCO9Gz8FiXXPNlycXWVzLpXhuVfWZ10a8SHHDR0Iolip79+wG0MR5pOPD73f
hBR23TPP36FmH5NKThtdFmutlbccVCAB8iBlWn098GSFot7a6lEbeOZyt7mL1EPYTOWpVY9l2Fnb
VPcj+gvat0k9usQLh7WrHmeL5zqMmdlyn8JcwQCYCX7bNPF+YC0wjMhFwhqpI1W5qJlOv4+1QxK0
U6uJpKN/lTWqlme+DT5WHLX2uGoVymI8GzkLE6S/g69WqoQla2bpStQaFqvVjCVpO6r1rVYrnabW
PEOtfj01Xj3LoaXWRYsFMlMrJU7dW9wZt2X71WQhdfl2vVpZY7XGRkb7GuGeoV+H9VewECdqRbbU
2mw5mPHVaj2pddthAfdYyJm+lJc6N061WuMZ11cQn1RDgNoBZtO8F2pPSAd/5bFJVGq34CxE+wT7
h8NGoqsdBezlJmCLacvuMrLldBlXUbagUu1Fhh0/+Wp3KtQ+Fagdy2frmtnCpnp6NtnSOCJ85m5c
7XNruOUwg+jI9scrSxJq2fugdkaKkaxFbUyw19g1A7ZPX+2jg9V8MdTOimvG3MdKKI+03F3XSBHw
W4uW3o0ZcBDCepMM1XU4aO6hUrK7/FDg3Q813qpqDdOux+EHp8qAUOEF7qap5E6Z3CbboigpaF58
gbcZCBi6ecVLkOSrepCMI3W1vc1b7OHa0PJofrCq0lgIcxqXVuXeebVz7IzpPYvqdGWk9m0WROHR
mYf1nA/XZjSuDD+h/dYRs2J/fE3myt93pftVutROWB4ufXvwWzzn7Q1YK97i5hSgXq/cZqwOpcuh
FrYE/FSxDstZ8An3iHHIia+QIFsJP02AHYJvWRVcwDP15NU7/TxEPYzLnvBpMGfH2sSNNOtOvQvR
IDSAYm5QHMbExKQYmC8JqbyFQ43AVSQ04HpjY7/repDel7qodtngTRosjYj81b+708fupLaEv92d
/ueqj9v/OX+J2+qvBnp8+Y8tChAl8SnbYHCmexSwMVL7z0DP+GQx5MOH56PLcYH/Xd60P+HAo4KC
f+BGbqt41Y8tSnDjV7NBwNG/mRf+wRb1p4Eee6aHE0JgQ2Hf+HAw/zRua0zL5krD1TKkDLE1j7H4
/8gZdNT8sgmqfdazaKbjAWWM4/FL/Sqg5kapc/GiDj1M3T3ze38jTfa9jZvLk7TIhdLKMbXbmcWO
YUFFFsnoPPvOpCuDKz/1Kie3cX1Ic2FQn/pG8+olEyKnPjmOpsu1IAcWco42SE+16ANlNeoQ1aI8
Xzea0LcSg/S2KUNzPYI92DaRqNdAKpOt5VQEggfnkrhFuK3gG6/6kkq2GBCuSTdbCf6tyMe5vCua
OfqW43feWAYFl8nSI0wMjm8SZsJMnf+2NipqJtaRyHXrjjoUQiVVLeubjvQkV3gaZ4H6Qb6Jnq3K
OEYygijA1rhIfSLeQ70lLXY19o6xcDvtuo+GRzu17mu/vWvYqsNieHRstGbPqbkvxeKqblhMRH0V
gXQ3wjDdGw20v1A6xxH2lKdjZxrCckv/mQ7NiuoV6HYkTl6qJEGOyVxlPqvPsACTHcrGVS8pRnbS
ifYKOnZEwErnZQahXpxMk++vJzJTC0jXJtu4BYpTSntLz8B8rKfqOATaVubpruNqt80zu1nF1ozv
slrXY3yCgGOtA0vUMHGq7Tw3+6CJb5WwvU0Ku1iFwHmaGW04pNmnaCXWyQigX9MdI4v0p4Za/TYN
abucGkg4OGQ3suKjysGEIR1qswaqmfKWvazq0wjlY2EkEW8rxguOhUOyCBP7zhYIu5YU/a4tgMrR
+UGkPxB4IqbuVDuDRvdfsx+oDES/0t+F03+lRNTbkuPKj5afk7aLUju+qQovXxlSxDYjL3IgrqEd
fDwz29bT31IN2cehFdBwHzoMG1kUOEyTG5pHuMlYtGTn3s1QFBufkrmkQWUwtGXuQP4mLLT1xs5c
1RZvvF24u1Yfngzl76wwO1LL85kcwKnUOQnGjTzYmX6Z+aaDQUzIi/DEGfQAaK9mCy5dk3tq/K6s
QNv57qMMPpfefHBzwNN2gvjs2g/1TBf3IL8MeHL6jsu3yFO4qNMlDBJjaZkp2ePUf8lC88VCwFw1
iBq+QHcZxbmOdlBroyUzACYBc71xI+0eqNyDABsjw1Su7Ci8iAHxn24DDOdDfOzKdI+bgcPtYDxW
WnTvefmDVgG1KjAJhtU305WH2tcOUurUKiTOAXfQNnOyfuG57QoiGyG3XnS3YkwO/H6KSvOZPkhk
KytD2ytJ+Zmcoa5zIdMdZDHzpRw997n1SqQfOU3BQ65AljJwYSvKzKAIIeAkF3fRqv6OviRhHHUT
RksTVNmoEJlDZcfXvZiJbmYfDM2+UjzNkFB6iQZId6OngJuzQm9GtvOotaazHqByBlEVrKnRYFIh
/JYPM9wzxKvsCPyQgY1p33Y6M3urBvYZDmA/DfifQ0ktowKCJlw+QXcCCU198ewADeUvv6p7mmFc
CVDUszLnFCjIqJwrhvVO+UWE1OU61CrxyBG/FPa9riClbTKl2xBuaaIAppMimXbllx6yaULrhZeY
sOZgngbYii0YqKDwiHkkuyHpvnFuOWf2nGxCoGYLa8xezKTfRPBUS84R/Qdg1WCkhYbIgbctyJaT
HGzhsU5MYxL4rEltfs2dTm4ryK1JMbwM9EPYCpg1x/3ntqN4C9ZrnWKzhv1qwIC1++LJVlBYYAl3
MpuuCmixXY3OpI3JUxhN+3jkEZXyNMCXDRVoVs+c2w7yLFWPLxISbUlFmQeZdkRGNMYS88g8bAbh
s1hgbeavQRtT+nlWeFsfzq1QwFup0LcdDNxQwXAjhcVNQLVS0cs7qJC5YeHe10N86CynW7ax/sJO
cKwVZleLi0uswLtlEj7ZCsVLHm5nw+ZluaHOQJ4sBe1FGLjyoPg20HwN2pT8auBEVy4rLz1zc92R
qlu0CgOcm+mr5mkre4x3fUZHUt0HrzrkYGHgVlAoYbhLBwFbuFWQ4US0hwTqcGM7nwMybMPELL4b
7gLhrkhMzxt6V0sIq9GFDrlvgUIZTwTZdIFUa0I59qEd11CPoXoQ+oeDPIRDvfMUGhluJd0n5lUP
M9kJyqOuIMqmwikXuW5AHBbjhTwCKCmFXU695rnQI7C2unfWFZp5LOpa8eEBqStwM7fjtxidjmJM
oM5jhQUhwW+znqgSYKwP/FnSkbkyP4jQ42SegBAF37N0/9Xl8+s9XB1BvnMeOYVQ2GA4nLR+nuFy
qjewEgfadZI8OOlj6n8R9j/tUP7DS6iT1k8nqYlPsZPSs3mt11Rou+e+Osvk8tMx8y/MUSp/8fso
+sev4eiYVw2LXP4ffg2TxkAo9HF41hlieu4ZRq2U94Bx//5l1JDnjy+DXmGqqbyp0nO//iphmUyW
mw5wJIi11jDyWpPnsH7oxWXEQ+G0Dbrud4LWv65AwR/pb64S0Wvb/UVqSH3VjxsEM0MiPvSvIpDr
vuvwqfjPDcL6pKu2J8G/CHx5HK1/E7mE8YnCKfQtpXThDVSXi99uEPRRkX22fkPc8+X/qHTKVn1Y
P31clFVPoLOhmPGJxMLho8/9/Mk31YtXWZ1ddCQQogY94EYxPnKkDbddrZ2riA0PxfaUZpj9m8nb
1ROlJxjiybdL7x3xn+XIv8dtlC0Lo/ZU60pF9AIRyLN2XtZvnC5Y07+yG5nO5DlYy5H1xLKMl9Ym
8QEzmONdtG4lYrabnKauf3eTaD361rrT4HNPRoWCIt4crgPhRPWb1Zb0BcZ5v0uqZtf4/rHldFSa
9mY2kzXVuBHpkOHKMcsHF9fhaEK+nRoRb6PZfM0aukN1/TnSB3vjBkHPUR+OcgPEdYnrPKL9pT3Y
ktuCh72hMzmJWck6jZK7YKCSmZg4cNWKWA8lDIvWqzajk+u7nB/uaLkm8Ghv5I5fGAXRHPfsW9lX
Opaq7WRSoRWHTC20KbhvshLFoJcrvRg1dInklApoADEWYiqKqmxJQam9dGU5UenjrWlQOkR2x3l7
zB6YI2n4fAuU9vImajgvF55/MOBvL1y7O/mFeV8zNDI7eYPVUFv36hjEyrPVZ++boaljuVncyIiR
sPD8lyQxbqe2QuIIYJFSqpMvJ8e6n/P4JS3q1ZghDZEwZ4OM4ytGzsek1r+17ezsklmSMY/7aU2l
FtnQwLqhSPYpSvj5wwlWwYxisnQqsesdDkZVYQnaBPr3Mkn3kCxXY9gsRIynZOoMRq0xr6PLFjiV
XyCORs/0dt/KRshl6VX41ax+G4aUPtVFNy06ALyrka4Z4Lqdz/ghFdu87M9l6XESCfi7t0w9DVkv
9Lx6Mfr4qkviqyb2470WGlwvHDQ2YVKj5LeTucw1q1skXbUNrPIa0/pVTQQV9bOlprSNr/WkfKmT
Ot7UGTeHPm5Wkq5GgmjE5gZESCMbdrWhX0wTa489Kq85Pvmw37dF9dBrw7ZsC9Lo5YbqEJ86IxxA
YTv4VAES83EyUN+ePjxzuHlvB3OpJXI7xtXE2asmRucoVja/1eReynrslqk/3Hlptun0Qw2MZTgF
WryZdH8fyuJs2MXFHACh2/NZI/e1GiaqJ5QK3fdMUssID8yMN8BBKuUDGgdLcmtYe3BjlgXfFEpm
taTHPucsih8w14dvUSrTlcwtuOvKlGel7ReZEEUrvW9uInso3TUduL3vb43C3kcGx6aZSgVmNDg2
F+Tv5JZzP8q3tIIlpV7jxtc8RoHcMkIZdYcySJNNPoivvc3Rso/Sr6U1PBOLfqMaJVkTyqFg1hov
U89MHP/8sJw6p4NnZQ7WkpOn2RyxQHVH1h5VGEe4LpZ1bVL51O3tAh/jxuL4bz8Meup524h6+W0v
popnqS5ocHJlM6+9PpTG2is0QRhuMC1vJ2BpVIvGop78mhKIqb/z9dzo7ka/0Sz8Vj1MPpuqkWe6
6szhnHbVrgzRkasEA2kpUrGJYztc1PRTGU1429L3suxSeRCi6DeN1sitpzlH25WUvyA70WblvNXU
u3H5dShESMRzqtF9Fw3cgg19dg5WyYc5Lbx0wf+d1JJdfq4C8UoDi7nqvCRfAKf/1vkRQ0b6WJgM
j9zidPrSmo6q8CmVp6lqVzL2IXNV2kkUzY0W9MfcKz8z6qXNwkKHx4jU4tBgCmxny9aSB47utk5R
LU6y1zgFjKE6ejqT+ir8LAjD3XinmxidWv9KS6aXLDK/zYbOdwntb+mQP5J3XmnzwZwkTZ421+mw
uU2VGwW/E9e5laSXI3JPeprpK1+Wr4Al9xHdEEuCXyS1aG9Y8GG8dlzVIGz7DDU07QapzlyNrj3j
A+5Psz5hmpbBkneh2rkF4/WW2/bWEgNrOw37oHjd9czoGe1Au+/S1WyHT2ZDysUTCZxDjfGMl/oj
L970AFf8nYU7bjnDSFhZY8zV2cPpnMtqXFMrd1V51POjTkA2N9xzPBYnhpoQBqrg7KNgtHmLzNu9
Ov44rUlE3k0oRYjRDHoCnw2E+pCHoKd7rx+LJww3h0RL+Rn7+RnufUS5viP4DFCZTs4J02HZvbe+
/8ACvdGr7CrNo25hhtYOSNkDV5utFrsSD6K+ZzR0Gbzq1rfLLzEbHQKHfi10BAKb54665GAbzEaz
tPVmH2oDW0I3hgt6mRLkkXTv25NSnYpl4pn1trXjcRmL9pzG/cX33E1hdo9DbuyqtEal700+gL2Q
61SHhqMbXo35IYBOFfKvLlOPlZMO20LTjK3DeH/f8YYuiUud9apNOPp2h5446KJ2GI+38iFTXOqp
ZBNkydpo8RxutdE4ZrATltOITN/wpB1Dw7w4RkdfYUs+ClNdvp9NatVgGlPthp1mmbgWdOb4EvXJ
o4ZLbqMVOItY5Fjg7HE341BcMPS7mMR+QEFTsuyU8q0owyfQiLT/u2+Azt+ko2+qlurFNHym3s1Z
dVa8D/LqWS+9nSWauxHfN8hsxJYpJbkaHc1mfA0JWPWu+e6nJLb6+GY2XNpyO/2uEGoR12y6e5to
+XHa/PfYLbgC/s2xmwaheCr7v5gu83U/HbwFcjbsKHpETFtRVX46eFMcgjKP6RQklJoX/Dh4E+CB
D2XrnNeYSlPC8fPB+8PFjNwuKB5XgKt/IN2DcPnTwZuRN55pqkXoFLD/6Ew28Ej1KSHpi2x0HrBB
jFQ0CjLaYtxFLivRMMEs6fVRh9to60c9yzlUOrGb7oG3lM8xRtITqj0WBsuq7xIWjp0t+/Z6TIPq
a9WhtLgZgdkoc6n9YXRKxTtZBebRHAIvbZN35zpJxIumO93GCIDFLHmSstVcBMV1GlY+Da3RLe4m
+xwaaKVmGI3bmbTjQ+dN9ks2MAYeTbs/dW3k7gG5U1bh9lq6MWyYKVavE4SwWvO9tPvs2dazYhfa
rb8qqqB9HeAVrKl8itdu449bNxmbI7p5dTMyq8soccLGFFargdInqqG0QgxvZRtG4mgUwTzJDapk
v0VjJQcsQj+JrikkIsFeB23RnN2I46IbGjK6ixKfVX7sWwpgWYTc8dqjtBT9nHSxFNRsIjUWi2yo
RqQbThHx0dEKjsvEI6cvyWDWlKpRseaTF3pxxsx6pekFrzF7U7HBp2Ifpt6Z7rqx/D/2zqy5bWPd
or8IKTSGBvBKcBYpah78gpJsGfM849ff1fKJj5Obk6q85y2xTUsWwe5v2Hvt5U1JMkEIGLEOeBT8
YRxCNw2qIXznSYp9vViWt6CNlg8ZTy+NVm+LMD5qDuvgXFDTjDY0J60aQzadop93KRNHjrxuPqXl
VKFa8/DpT3nJNDsew3jb5p2JnnHIKazT+tlyYrb1nng0OaD3lcYUI9LHYWW7TQfktpX3blTlh07r
vEd4ePIa56a+zo0Suz28gfIhaPWc6jPz3jVn1I5mBqGkmvIL7lBt3XTDtBs0pAGbMavrbj0FcfXd
0cr2MFdBAZTXbakTFvkl5NxbL56TPE6UdScnsYAfUCC+ioAQlXFRo8Z0KV+XftKueHhD33SK8YKJ
Knhxl3x8LJKGpXs5YYqKp+omGmCDF/CAsnVhWUPLtI0QsQGIS0fDaLdr3Fcj7J3Clntj4PiViOIy
SF7TaN7OsnGhVJZSfEAQWLa1sqJ4nO3g3lz7323qf7TTTCz+5iwus7fiL5aoFq/65STmkAVI4uAS
YYTHmfrzJDZ+gxRMNCwCaWLM1G/9rvNxMWx7giqHHSpcE5051+9LVPc3HXUQO0/TwuttspX9Jyex
+8eJGSMQ/OIKG6WbBscw3KQ/jkAsN08aapr54nZhc4OIOL+D3+i8lJllHOcxTV9n0Tlbtxv0M0qK
AMXcEKG9GGBKeGN3H+llxnJMcHqQMrJxtK7ZFHEdsWXQr7Ms8s6DysuxVXIOBg1eP2AeXZPx4270
EiGERgM/GUAk2y7q9qIy068xPDR2bGOw1mfGyQ1JXF/yKAqPOPIWUpm6ZI2qAKoi+iSGG/OTZ9R+
pE6oIHeO7CJdDkltvCpURlBTjpM/qdygKdMvWDRxSsRp6nuyxvtBzBCTRIUZNjsWm8mi6tsk+ahm
MVq3XcHsd1lCmr3qNZrCAFH2AHMPYWtJVTclRXowFo9IDmaSN6EIX/R0Psa92WCfKGDO1CQi6Z22
62S4wOjvzWMU6c4mQ1AtNMgp2BG9Nf5ma5dmhbUZDCPYSzG4K/qn9Fjj8ICmO9wuTYJuNgPR0GuE
Q2g2LuiUhA0j9K4Tk6N3mPnpaD13VjxW5pooLHFpQXGvZ2esDnXUHnsj+VJXDsgKAgaVaTLZiBDK
XFgvnY8xPtpQdjbrTEv1bSDFPrG01azBLpnsYZd3acAQvq/ehjJMzlNnfWgphBPm4kzqbRQjIwMw
DJj3JJ3cEkVjrtJp2hlD9mR8RmFYHnka6McuQy1uSsN90sPWYXyBFhKB+cQpjMmeMJGKryNlCq1r
sEIiWmjInSK/ak3xYdtlv23leD8gKWOuS25OqhdIZXP94oTevsjL3WDap2TyzuzRd5HADblkIQjy
QELIQaQaxpd8ibuV7IiUsTA5LfZ8tmmHceU8Ym7g/p8sEJ8Qq5Y++JIbzbtJiMfai9yvkEB2oF0e
awS2UNcrjD8VITldAVfvuk6RNvnMpPuvlquWOKbNai8op5M3cuejZovTk5A1hU0/0/ZUXmCuHYjQ
p1Aa8eHfwviH8JJp/t8dxii1/moezat+HsYoKy0HfzZ7JEJVlUfk52FscuQCsJLA7ihJmSz/chi7
cHopfR2hzCUWf+Evh7HDwQkHQ2k4derYf3AYM0b5Q1msDN2kLTASV5Qt03U+s6J/2cQg6sdWpSf6
hW0QD5CtniVTPVVN0m8GiypIz4N0rwUIyxPhPQXdQGYIY1B0ys57l2f3DlsWfArGuu866C1V/N5r
+qEd6hNI3NBvILKj6GORJ4eOlHLxZXSmcNcaY3uV1/WhHihKlvhidtoh5+xuSWAVTYvxNEjQ9s+0
5k7r7osYyTBlo0NSQDfK0i+15SYFh+Wjwr8zzO6VsYMGGKS4nVNN8FHRHrSInXYwJERvxzELWnmV
JS9ZPH8ZQx1mhp3ctU2ir5q69ZEwXOV6jTqUnLq5LI2zXlmXCFfBShcQPnC0D0V/5bbBt8obr2JD
fjGYud5aUz1QDgXIKWiVkXi+IifbYFUWb8g1Vdihu17a5ik29G8hY/YVZ2XtIx1/nByNERxQjJIY
vjR1z3MWRhvBvyHQ03O8VG8thJztEKTxBgBz7kdGjZDEDpBsMoRu0AVwN16gDHxhe4zSxTFOk1vv
OistVx4LvNUAacQlvagO7EtqYOOxx2Xfj0IHbuo9JdLb9goqNEQ7vXNhDbvJLTtLCE/FdALgdBpR
amzGoHqJI+J8qM4TBpfpU93S36Rp92Iv4xXBk1Ci2vx76TZnQ2DnjFIUopEVrYtObhgLdz5R6Ps2
wOPe1uGDkTVE+SIyZyzhHUfZVxtYhd8ALN2HwbwjemHa4CE4zqXx6av/mKzqaqH+l0n3zK/tixIp
rDW4uBiwdoL17W4Y6Gcnb8of5KkUKVAhh1EDn6c1SQsRs572O8FP+8RpdpJbx+/6JtzyB8+irzdV
iVlST8nKIZP8XgzNLrHTV2sWOCg4lCvXZtsBDLsrS7iSRX7bJxEg3DbdWt2S+VzOmzlyKoBInuun
S3OuvKwFxh6AiJnNnRGWV6ltQVbGfp5SkFjpeEyiLvGjhthvYCY4za86pMyIc2Jn/toT5vUcFZ3i
LnookySpAXeGSlQIWSHn2q1eefUd9HkGIGKKt52pb1HTEPphBN/TcPoIbE8nkYLlkF47R6eYnlrZ
vHcp/VpVlrfcWzstSm8FcmO0JbbP6mtdTQAgTWcgHVNvtq5NMryZWfzjkCU5yDHNKdmX3WRtooC2
2cucxU+GFooMsTtdOW1NOb9NEk3ONH0hqmeje/MjbzRL70Q7zLF2KupoF6XaoWDNLgmLC5Ns7WnB
PsnnbeoSKDHBXJit5WhW3bOoG2QiyNSMfNoOOT2FGdPbxDXGi9RQCWS7kQF6XuW8IU8dAb/z1G9B
DfgDbN1YI9ojLZz1nLfrKPZe8iRBn9BEyFQ8gQkkRlKXy35FdsSeruyahcbXFtu/DoF4nhwCBiiQ
zGo+E7x5GBvavtwgOgIiP+8tEDut3/dt87Vvhgv63XWbWA96HDKznZvTkqIWs2xSh1I+hTrrrZrU
jS1pjPd2H3zUUiGvBhpDCJjw5oa9CJknajUsBzO/CXScTBFSlSRGiu6SvxxZ/XnE+jtpBZO1lFia
0H3NTCJQpKvQgiwI9Z3n9DfM6Z91ozoE2DvAoDqbNMk4/6ZCW1WyvDN7r/PjpblYeohxOdkTHLKq
4uE6kMsDc3DEPN1tYPTHph7Qx9hkvnjzelmMrZTNxtTEgVn5sG4JwuAUNree3V3RYm9dRgW+h9Cl
rvT3LGgNhtX9FzOGfs6swjyga7gRZL5WYXgrFvfkuaS9LQsbFLmMkPNSIizRIadVmGxyLfZwP9s9
ISLTjZlp2zTDc+2534mmYFNSrVv2EG3jasz6waaOAJnmrrrpHPdxivvIz22796fc9ogJN7KXlGyf
dVgN35O2R0SoP2V9gd+uPEUeCAf0GncYr1ioNd/tECBdL6rraJq2dbI8psJAWzakT5zAm7awbxst
KEnz81412TxP9XQ15hFL1z53UEW7fieYSuJnjiaGN7AdrE45Aa35ENSooVnV1XCaybJIn4aM1O61
YGG51ZZu9N3J3WR6fGBdiVtwzJc1iYjfrMHs1/NQ4i1vxJu3LBfRoJWhXAjXoSG27FCSVWASlddR
k3pdekYUwnEJ72SNjv+5TIybkuQ5lsSEwpbkukXtV5spfqcrh9R8aSVYJoPzq3EgUSMtfJxm7ama
yocsxnU0Fua6yjDgudBrhhTTvrW4MDCo87M+6W8btnsbmwX23lJEc4k/k3hUQbbxD/zR/5SiGKoX
/K+6QvWKEpUYSkX0vYzuVI3067oc3q2wZs/0LuI+X73Y2+Gm9jGS+d7bw117Rre0Kf1uH5/s3biO
9uU2OtrhPjlHu38L3B8FLrPYvylwu7cibrO3vv2L2S+v/Fnk6r9Rxjqkm/6Erv4scgV2bAitFiIK
hYFD7/DfiYPuOLYBIo5Fvfz8rd+LXDhMVM1S6ZAkkV+oOP5BkQt17s9PEbJw3OJYm+Bf64ya//gU
oRQz02bKyktPzbacYT/bybWw9MTYdJSwN9wtQ+cjx722q/oG5+5Xi+nrpjHyh0HgXia04lQbzSsc
mmPWFndxHq87zUAnm5BwattnPjlgGp1xF5pDuG7a9MQ48HlJig8vJuazHIyWuC1Z3trhshU5HKNo
obNGMkh+JRiWrEvOTFdXE/qUdWMOhXg30GwSNxBmxARRyR10x2ziI4LTLtylpCgtADQ8iZO0Momk
QZ7IRSWH6uCQU7OrHQIGM3exHsygwz4T5GPSrz2Pme6pSeL2NRkDFA2DmRvboR+ShaIouXKIjyIa
xLNbVm+NTUR06zYYZApnQNrUQM7b5Mz4Q3y/03sPh281ZsWzU3HsEisOdY18jyqWb1UAec8Za4CO
bjZumX+cma/UvoGYEbZrvKmXgOQtBCdlMDwaevCkNcuhc7S7gc1eMYwHjClrMh1P02hfvEHifK+k
32QG0on4rdLKq6ynLCm7/tw73IyOVu1dVYU1nrgbeu0gBckBATRZpZg1gWVo456IAerNfI8w/hR6
xXVuTNd92bzrc3vnRdneSOQjy35KD2cfiPAiSbtY1Vl1n1ULeLl4nVX6brTbu6ZjUTmNB2h6zzn3
Pc6DN89tj1ky9r6bmwbQ6+8FgQtWJq/Nsd+wu4cAtfgCn3UQtzde2r2SBUll6q4rTRDFEV0T7nZx
EQFjvLouIHi1k/G8EME9GMnKImmB95JlN8v8KLpOAiI7TI/EVXtL03Wkk9nBVvpi2MnWjbtzZXbv
YekmG/XWhw5ioUaQTCt2rpxIPW27Ve/p170RYcZOrhtJhgj2nm7RHu3IPGTk062yvmREkR9aoQoR
d+UF9QfOJ3qD7Jk25rHUIzIPtG1Q2SdsG1siG5FtDCgdZnEaLQTTfBO+VwjkkuJEyuoRTZTfRN0p
dLj6Ym7QKTqULeY7ZN8fjWPcDd5018yptwrCwb4FpLSL5Rhdy8CCAWjklybTkwM1UK1IgCVIbrWx
WdlTfdGxiY+CR6pXkWiYrvxaeckrTOUz5nIdkznUYyrI8HZS7vOJJLwBYf/axJjeJTOPH071qgp2
dHPzVjODL4g2zqNytbt5/wDikBrIpOtRzndDeeDFpxte+eK1iH1/NWjFxojEObCsO0u56CFxIXGZ
eMeZnt8kWO1bi+wclrV76MYaHlsn2VIcnjsM+tjYfZvSWKdf2vB08G4ZTAiJkLup4YT5BUZ/Qzn+
o7mFgUVqQ5CeTJAAAnVULuvrSrECxjr/irGCN2PRgELBE0gUWSAGMWBn7oGEUHONTwMQmuIQBIpI
oCW9XypGgRHZON3BFuQxUvKU8oVlxUvnWLi6FeNAy5frXpjnCfiBVBQEzcW0XmEQmGIym4tkuJMg
E/CfHDVuYFfrs20GIRmd0XiG7jGvBkVcwB1Q+Z6iMBiKx4Dspt4m/XwqFatBmvElTevHQfbSB8D4
EEqb513E7HM7f0ADHCjyA+5MhNbAICikCzzZinmpSBFEDmZXkU1N+e/d/+Pu55r8m7ufk+Oj+Yt7
n1f9vPe53NnZKqHw591OdfbLve8xbfKkJdgJG2ru9Pu9rzLPGYTBkmUB8QlZ/GW4xXoBKqNO0oSq
KP7RcIsZ1p/vfYeRm4FTC8cW4yj9T9XjYKCjqDVvvnBrtVtdy4pNa+mwmVLTDeorV08mm6WerTE4
CkAzj8DX9dzegYEGsdbgE4wj3T5NitVOYgTMkhaMNQY1P5vNdmuIzrsG6Ffup6Gubg0L5Im0Ou2K
0BmbXLnyxVMcYw2gcQHqACvscpvHyOEDRT3WKo5LExDyoojIhWIjhxWU5LgcMY26DLR7PKCkuRm3
qaIqDzmguRyOot5AXNYUexmpSXsgShJXgSdhM8dAmi3hfoxAm0t20ZWiODe61A6JIjuHXsbEQtGe
9Z75lWHceXTsq4BRCGXTiECvX7cKLxAAjdbxDteKIg376VYHK51DkPfATJOB+gXC3S5R/Ol4GQ2/
AElt2Wp7zjxpqdxvi6JWE8gJZ8sYrqBZlT4MxdrX+o6IG/K8PLDXqeJf24CwA5osR6vPIHJekpgb
wVHM7FjRs0d7fl9i41rEDf+D3CaOwszXgYm4N63pavOOKETaSwDSjM2I4qwBFLoCX1RV7gxn2qKx
3xmocnrVhTfLx+KyBLed4aqYbFKQG8dlxckhWfStQuMnOamHY0VABafxaFjPFWFNvUbmam1Vm2Ey
7HU7fwSO3BgG/HgjCBVb93vvhOXaSXFoddaCdV3vMpgWxk3QzKTNSzK9AcwgHl3e3Jo8WYHOluVR
SUljkRGO5PAwIPhJkvK213NySyRLGDdjfVBvbQIgfbwWu15IskzCZ/xy3qrLWzLWu4wiCUWQi/wH
5Dq+4DgNwfLMi753soLeKG9ZGoTMouLaeyL/4ibNAabULVz/0W24/tsJPnz8xtILA8JQvjkTYrB2
0uJ1qwXLPuiYehGOm26q0KLWNHoscmKpEGSGFj708N4JHJ4pnNl7I8/PHQsIvy/UJT4tGmNfIpjY
J17R9d5KEb0Wjhmsiil3NxhRTrk09sQGc7aH3mUq2pZdkIEON6LaJV1pJSvYxPYYEG6YTZdy0g7o
s5DTj+lXutDnJDffq3m8SSyUvSLMPzikrhuDUUwzutckdembxMXFj0phgDLX3piV+S2xYhr3Ktqb
SA7GhGwGo7iPiyxhfLCQxc4Iu+UGYwiWJNsqZH3SBfK1LWvAkREwtCT9SBbMH7MR7JaeXTh8RQlU
WA12QpVEH458qONso1XpczGWz8TOYHEYrLdGT74UkmkjaXtQ2coAfl1pnvvSfUoa7UqEwxFHiQ5H
wN7IiIx4cl2RkIK8A2IA4Vl7BRiNdqM8lQ1p3aPTjqsodF66hVIhDU1vP1SOt25zj5hgwYNXt551
MdISn0yNrvLbv9fi57Voc4v872vx4SN6+6udj3rVL9cim3LDZsnOHfbp4f15LSoPAmt5BbgwuOsw
vvznWlTB17A0XJc2lc7XNrkxf2+HPQzOKpkJqZTavyOg+gftsC3YHv1xqAIx2Rbqa8EnhjbxJw9C
kTFqyfg2LoMXpe06MYlmtPV9UhTasc9CqLXW4ttKtBgM/WEaZ7FimkRI3+AdOzuVfoWbYBsm84Or
lbBgEh7HQsTZqpT5Jumrr6Ex8ciiF5qAzMiy19am1j+19DB3c56MO9nIAPf9DP9qcmAvGKZfOUNz
5iLvV3ZoRMTrifeOoGmdxPp9NRZ8rhNyIkmKTcmF7u9mMd2ifJS3Nah1CFuju0byRFIcgqlV5imG
Ro8tYvY4LHO+K3dKyYbstb1InGCTABlYuX38TRTGxJ034PrtqGGZ0TE8hslESp+ZMkYOCnEJDAIt
pr7g10i62zsiE6uKL7+oeNuGdCa+CuSzRYXfNqbSZpKHS3I9AQfRcSInt2u409javnUZEbpShemW
3WCjpEzuSrtVc4GrQdMZ5kqTeL2cT/miqt6GfF63Z2HRfEb2utpjtbT3Hlm+mETcg10vN82Yzmsm
+M9m7Xwtyf+tmaatGhKBMbLfkFz1EA5EBY+UAQPZwU0FH5EsYRp8sBgqXpiYaAdsVfmSjNlRkkA8
JUQRz2QSTyqcuO+8bUxasV14H5WKLxYWq5tERRozKihXxGQABVOZx3E80h+pHGSDQGSXYGQAYfkK
fKPKsSW9BdEFvYpKUl7a9lkO7SvdqF9aRrlJw5iErDCGGkcQc6kSmXOVzTy5Mly3xDWXvPXZpwA9
HuA+Ep0FqRd6sR9a/U2lFOu60q5TsH21qu6Fdf23PCysbWCKb5XSu+Mh744FsMpAaeHxKQ5bqfTx
Sw1kMuVx3fW6HuP+VkL6WGnqK8s8aEplHyJX8U235IOABH9Gim8hyTeVNt8LRmcjkjZd95KQ9QLx
aqurFB5Xr/xK6ftjIqFlFIAgxjaDvprPSDCRnDkoZ0AAh5TJj7kaMQ2EA3uYyJ0uJnYCA1sBs/uL
TN2DxrC8N8jUoCo7e/ydrdXdV8qZILEopLl8drz8gneEK8FM5nWAnSElQFJX9oaie3GU36GcuDfL
pPI2reM1ful11BAJVJO0OmOU27Va/thioEjr8NSxWNkLrBUxNmcDq4XVjwQSKPdFM02XPDNo5vXs
NcKpYUu0f1IfnUNSOyfDy69jXB2ZsncALDQg3qUL5QzmjzDCBoIXJD70OEMMHCICp0imLCMuXe9K
4iKxHPu5b9qLoewlEUqa9aQsJ3Zk2etG2VC47vCS9t0uZCRCybuwO0E9NMrgeVE2lrrCTkVOJ0cP
r2NFNlGjZCTWpodgaT5qZYlh6q3AhHA9lV0mUsYZjx+rP+ClMfDUdCObNlPZbFgcW+t0aOQ+xYNj
48Wx8OTEUQTKWtl0Mvw6Or6dRZoPAe4Zv1GWnroj6gef+x0gCWR4OAVCs7g1lBGIDch36fU7Ji0z
vho32BjtcNvgHgpwEQ1Re9Y/bUXAwmNlNAqc/DbDeTQ5sXaM8CLFypSkd9NR4lIaQoLsYU7aflJT
18tiTDeZsjUtenTGLg4FhmpsrTXZ93AJHojEo5cXKjRBGaSmKPnWVKwrSlSuujJRoSeilJcYq0bi
mfYdXitHqcGXermdlQ1LU4as1AvvJ0DVvXJq4djyvHxAedQcgUdRRoso9EngmXcmq10/k3C7AYK/
5LjAulB/o96M0d5gEHNxilEMPRo4xxbiWJWUc2MN1rbBWzaU7lWM1yxpg26/8BAhZWTUaeNImx3x
dcGhZoec2RMjRIl3rRbNByuJc4enbcH74iiTWzvD78X1VgI9ACtAwgxjHFgzewd/nA5l11JwV1z0
nNwVCHjsB6gHMkzwzgN0+DPpOR9px0EZm7LcQE+CNECP0+HNY+xCwlPrXRoP8byBfy/juaVkZ7Dr
KN35YBD3xLa3sVksS2eBLjGHb9ydzaaMo36lRaDSdHQWF9eFlIjK1dg1bfMSp+LeJuPeR+v1KJzu
lWRvaD+cC6uWpgFmcCU4QQTOO/fdDNxp13gN69fyvUmgXRRu+a0FgYNnG+pNEZnMEtPEXgdMtbnz
ECnwe2MVXXUeu8NuQOrBMHXj5f23QEmgdKf+ZkbFJUk84pi1gIUr6RyiYltqhXO09UrmoyFarFWQ
9DAKOk6wwLWvI4gFzM9iTHiQu8o+3M828i6Hc5I8EPyHxf1cLhGwkORL6lRfbepmE+bILgjw3Scz
70Ew3Au7EtAp2VovmnOouoiruAAsmlEawSpdCIjVRHuBZLoO5/x7qqcl49bxMjmg1VstPOlmzGao
q767WoF1xfJex5LxqlbncO8KSQQMLvYKX7WOXfy2ITiW07z1grOFBiKKmSL5GcN/EMKpV1+XWVay
V29iPYTTzIYARLTw6uj0bx39o45Ggf83dXRfgqH+K9y5zet+r6ThASkzL3JVpjg/fLk/K2n9Nyy0
iFzZLUn9V1OB6f5mKV2VLozPOtpg7PN7Je0QDygMlK9Mnn5A0v9BJS3/hKz7VE8xq8J7ZeBSUOOs
Py6WxGAjyQA9d1ns6IgkF2FKSd2SEohGDBq5ubiLkiA7W1WWbglM2uu92MVVd4lYUtB0rr3RwNqq
KebJcWyrt7S3XoMWYWPRnadFsKiw9kskG+LFy9mPnPCVjItbPDjpRub5G/ow6ZOnxl2R9ZW/wOtm
+JSRwpZGnEd5h+fJjK56msxTgcLAjZQ8RqnQF4RGjZe+S6wyZiAoNwgIbxgCV17yMopBGRQ5nWwy
vYweO2oqCAvGWPpNliW+Zeopf4kc6cdDKg6YmU5d5xzMIH8w5+kDJce5tTylCHiguCkhxYW7UvZX
0l4g8Q3yYpfOMetg03iR/Whiyic29csYyW07EOLUoFRdjZ57Y3kN825QyGN6nYw05JoI4JMBmCPC
CUxXoz17CjRcMpLQ7eTEiIVEsmoGRJN2BwIP8Pali4DH4eVbLfG+TE5+Yw/9ycLNe13Vt4CGtzkK
K66VC4z8bW9O9BbIHxKSQEyW76aAk5xpL4MVPHM3bmVPxpzHcIEBQv4ez/0jclLkrwuAGDEl1/PA
j47s+Vt9CljfpzJ/qq0DiDq3g52BdpVKfbgOdXcbIK1CySpHf+6H+2hONvx3vI3RiKy7unjq+TYC
pMB+GmvTyhrLnR2TKdi4gpH9DPiX9yFJNGeV6G62LmcXk9hs3sUuVskx+GbVFbo7KR+sUt5p9KK+
1smTl0MP6m0HKk1FxUiZcachKbOh15K+goRtqpMHNyi+ujgJiyCH1Zl+S4rmKfRQjEjDHrHSpnJf
BWL0UfC4iIWn0Kd02JqWQvc5CPLKOCVeoseYkO/tJUXiNOxTw8w2RT9h0sOTzM60WlsS7ZzuVC9l
mW88BEkqbDzy66yNfWozAismQZZFC6pRY3u0WqYZ9ZDwqjOgQ8g86V1Q9a7PGpfaNkbzB4TWJQ+F
NjBrIHEQ/0GRmaIMal9i6ZxI0bkrhjL2ndjLfU0syy4vEuQPQcNebS54Mk3jS1XU9+7AG2+P4Xpm
G6f3wbdg0MTaHOw7r3Lv+jHYjyYtpgiCg6Po+jYP/Qq2wHZilus3NFXopNMWQQdhJ/Dz2Z8s8xuE
7tYntCOE8c2rO605doO21lM665nlpVCbHY+o7Hgx8s2c3rEBFiiu8Akub6TyvXWDfAin4SHN4L5O
7g3hf1RGIZvB0YA6YsbaEzaWAvCss4mWbhvNgzyilRnpV5E7ozYMWaXMb7yv85HJI/QvRMWkLZtr
Q7M+jKk9Z7p2nkDob2J3LjaMBd/Ydu3nqrN9mvuZt4vxGRYQZzU3gK6NerzPnbFkpNiJXYA4XEmS
+X6GrFiPPU8gv/7dyCb8j1D/WaCpxjvT7upe/2hzHglL5jHcP+exaurrNgMubAjro6pQWGvjtk0m
iX8+sxS6HzGSoJXTl+YUCCTchcW7zU/8qi74R9MBgeLuilcrz6hBNM7gMHY9fxgI/SJpaR/gBt+X
Yn6rJdlAHkejlWIxB47Essk6L110abHjr9gjuOs5JnQiyUcYXjAlW32HZeGhWjgrS3EvwprWZmG0
qJfOW4imvZIRq3krXo8xMdG23j9qchF+QNmwyRI8xY3NQ522wesgl9emq++i1gr3YaYxGRb9hqFI
CpGmv69cka+blPfX1Jhkm83oj9ALV2HevGPV4aio/DLyLhx0O9yf8Jyt9oGEs6fU6J6b2kWgk/bP
lscEWBijWOu6EV0tbYK0z41sf47olcsQu1ImzEPTJveFNHdLxbY3SMXrmGJG9hg825kHt81DbWdW
cuU1xtMgb8f2uAQvY3xlReZtkdC4wXJK6BxjMGdSFN1OFuW1UaFLrzLR7vVEfggO+o2YvJshlny0
LTR/mo012JFLvMkc+v7YstalN57aKmMFbOydKeP4jefNMot7fEZXUUl9GIf9s9Phl9br7lh310oT
0NlEMIUozAhqYjtfevHOqBsCdZr4WczLDjZ/cio0jv9Fa87e7Ghb4FLp1uymZLUIk8DTyuXdCvLN
WIVH0g81v/2MeRCfkQ9zz1SbhurDVXkQY9FhGATlbTvPSQnfoUFzxdioXuZrEak0iZb3mdm73Icu
A3e8/rBh22PQLaiXQNBe9IW2KkADcRhY+COPJLait2amPdNkcB679YbLI8H+Fm5zW5xRqRw4jY4y
4NFxLbjgHWgrrbHMp9ipOCGGOlxZrbaPauvastpwX0T6hznrH5DB37lyYHlE037WtXXuwgzCZmF2
fI9YG8p1OmVfp5jcXDuM2JAkKPcCGl8yDF/gEA07LDjJZqSIr0nnAmi0ICvUlGpXXoVKCvEOD0FY
wR0+5L2mjQbJQc7FrPCFx30ufAzmj/z4ucVF9gFz+zgQ+bmtkIQ0rdwlLrN+Gyvatph0NkWNXiE9
Rfgo6vGl6Cb86JkC0a1lZj/mHmnDdYKHYkkPoyW3TQytnc8JvvNpK7rqgWCwrxyuNx3WB5/0W4Zo
sr4DurvlgBO70WKK7wkw7xFbcmdBQyzx3HhJfqFHIwEgiPpN7KXzppk6ngc0N+tILhHzuHaTTyQP
VtJqGdYbb0vLEjAbsVCSSMmSTl5T5L40TXWanMzxy1zbiJh0w9ElfzjZDqNxh6Lyik/uHpWTDlA4
UkM8BVZAXyC4alNxioPuKsjKZ9qfFwIjuCMK57k1pnM5wasdYzyViYbcwbPDp3wmoVGwDVziY2M1
5ykMt9VoMIGKXfKTK+5oTT721XBepmilF/F7ZtnAwwQdkjmfhsnt93MzM0Ob5DkXLliNnINQQ4ds
xwRS2dY+LY3TqC9XfWOahOagOpCLfE7GPL8xUaiuw87VAI3BQRgiVEgDc1Z/hI60Aro4+1VLFCwm
gn3LZI/dY/LujNQw7tTfOBVcca8Zyl3ote0pr0lyq80RUT5bOLZUGJKgI3qfUiXjU7aEbAEJk+y0
Iz7cfCej8uB9Cp2yT9HT8imA+rcd+9GOsWr43+3Y00fR9c3b/1/327zsZzfm0j0ZBvZP8Kd/3GvQ
qNkKwmralofCTiIS+H3db/3m0YnhMbE82rjPHun3bsz8jcvcoIUzdYd9BO3TP+jG1DL/D1JRhIIK
5020o0DjbikR4C9OlknXwqFpiv56gROgfE8hu9XYzX8YT/+nJFXo/299AgrdgPoBVUw3DPbgf/xC
Alp4LROrojK0vcc0qpmj5042L3s2LmyVza7orcP/sXceTY1kWRv+Kx2zTyK9WcxEjBzeFVBQtclQ
gUjvff7677kIqjGqmukRC30RzWZ6CkhJl2vOPa/Dp268wsIfpx5T0W9Dm7tbnoX2UYmp0rFiCSUx
JLv+wqdo14aMW5I5eFZ13EZhpX1v+8K0sUcu2hbDY1DYVm/JbY+k+LwLY5IdgzzP1HnWxQ2m1RJ2
lJOgclM6SIMzFyoemVyqeyPWuzOL2+e53uBnMVVyONWLzO21adzShorxdqX11WXaudwqRnTSxuF5
WUcdtEJSWn3nQlPklVHlDymHEqLlawvsM+20fUMyQdhx+8EyPYCZ7C6cBM+Z5NAdhmKmRTAkq1KZ
xUPx6NvkNeX6maLmj43WXsVgtXM25fCbFaHHdshHOZWsvCQFxDCP4gAxnZPgLD6qFeWqpD3qYYVP
tevLZ2ld5HMcTIsJdzIDsbh9Cn3/rEohO9ESozlF7bxfp9bNoEh3sYpMKQt9BCN17akWeVUqIh0M
BOdwSYI5lmA8goQGhRDym1KvtX5m2qn/pfJajJxQy82dXiYuFs0Qo6gC21ZRU850qcQtCIf0gsza
I19SlLNXa+9iPWn/SBtyK4O0rv75D5VF9n4uC5cyQBqdxcG0fjvFiqEsPI+szTMOoCW9RuVqvLIm
0OwhO6ewEyekP8wxHJijfJ0YR/pCm0PHmkb/Ya6/i3PDQ08TWl3HofOBUIzz7O37MHrCDb3Kz84o
7Y+GmFDcyCtc7jVUI7YVOfOidfEWUk0iTVxbPvWs0j1S+BuZUYGxlTWcOS6qWWLTv9d95iwqlUCg
us4Xrj1+twzXoDsioScb+1uYlhb5JcUwtSqIajRr8VTxaZ8bfj/H42y/U1CguSNFpO0io3QORg3o
jfxzXTeUSVGXTAoH9VKSHoQ4ZWV4h0wyOZ93nXeiYrLODQGH+5YqI0lCMotaYudoIO8XntCHaN6N
B5EHl5JTrlYyN858X46YaJZTYJMkh1e//xO/3USEOyGBVjIucLpD/0hz3m0izqh2Tp645ZncJuE+
GwEBUiVnuxT4cyML9IleeGzXP3f0TbOKRtqrWfXxNd/9NaUeD4k28qqzwtO+Ea487VEbIU+zDvSk
Oc0KGJSeSTfFIufSiKGJGno6nIxlg5BHMk6ywL6TA7wdYFg+ulgu5UVxqmbmpeyO94ZXfE+6oJgV
aZH/HYK81vqLfuLPv+BsWS//4BgO6uFsmaz++Y9v2BFtOJD5nZcDGbND1iU+6QrG5I4uOqc/26Mo
/TmccDrEBYC9CYz/5UAmDRJuAnpTJBWk37wVl2qKJgwCMF/nhzBx+QsHMlyCNxNOqDeI9KAXi++L
peK8+I5oUJf4i8Rq2J9jj4IQyYab5JbXtUqCe6gO9WxU0uw6gGJ/rtZJclU1bnkgyQoCq9FVpgpx
MfCw3HpS6NoZngbyvI4RmgxWSLAQJh61KnM9LNofTtPl19kAjywq4v7C4Uo+RQFpTZ3Gza71qj0t
5Qb7rBSDtsDHXMoruJl0qfcF/RXUKkPV5l7rKrNKUW4S/FYPYkRW+yG7A+T2Q1LGr72iKRe9jh01
JPvgPA76ZEoZ9B07l+7A6eyv6agGNwVtulNfHdIFtz5Sv0TUucIQnAeK7S5orDgHqK2ESEjFFeOJ
qSM4O7Fg7+Qp4ehY7t1lFfQvPQ8hVTTJSQMdIIL80wkWUA0dyBG8IAOCkNzo88jy5LkKdSiCQgRs
9pXRPM0Et0gWLCN6rgl0X/+7AQGpNx2kCFCSvCK6FR5P81ywlVxoS7XgLyG5MidaSrKU6XkHkWA5
SSasKsF76lPzyCQ3GPiL9pojyFG1oEn5boctPMwp/tC4u5v5VSa5ZzrcKpu+kYa3M59Ee3BhX+Hu
157gCUeQST3K+J3bZ/hUgSK545mR8Set834GER1MW/uhaiX09+hecnN2cd8/imCAmYIKBgJWE1gH
PYxb56GBZAjQpq+wN3TOMfiElJcIrRVSUEEzywThjK7it9wbL3WYaODUWFoJchqBXw4SDAhrpl1E
9jkX51D7IaRIw6FVwzOxSLYgAm8E2MVTboZZO3JTy1hJiD+DxibaRBrQsXFGuE5ogN3GRy2ZfdhC
QrlQE+VEs+inx8JSzpUVTmzDDvYHI8KnAlY90SBcDg2jhdlcEtrlRSS+0Y4bfHofAQ548yx0FrKM
LgzNCoNMeXcoDVXBnQwFZccCn8rMVM3Lv8RpSipfoB/2tkPXEXP+69R3qwls9AMlS/ERNULqPMdM
ZqrbTUddTifa4K6GQT0IJNs4jAzjuqxduBspyaeRNrUs54wOYcyF20Bq2cH7s2LzULJL/Zw+DIQY
nG6muRJgMV/qV20kKJ61cQLdG4I30SpTWTKOSryFjpQhOy70WDksMvpjXu1gwnBXKe651HkLLGr6
hd4FeJ+WAVK2pNyvBpBI0MaZXcQ//NhY2FnOUmeZ5MJMAprh9xx3iV7YTESSZc8Qqinnfoc4zRV2
FPTcvCN6gxi22+5ZW0gZ5DkIm4MzAtkLzi0lAjr1/nJQoNCRQI7txTDaKGixwqC/xP21yvT9wXMx
yhCWGXmRHnvCRGMQdhqYb464rivSvi7MNjKYv6YECjviw0GA9V0uJdqFGtIGYPfDejPQnamPf4ek
0TsXhh4mzh6FFXqPFV4fjs8yvrTw/xifnEAw34Gq8XRs/O1bpv6Wqne6LAOajRsuteL3Xs5Qbq7c
PsE/sC0DZxS+Nz/PUGRtEPHWxg1v/Bks7rQQ2y28IlXsgRUOvpc7LdI1cazCrIPd95ela4o4It/c
ainbKMO5VxNWp6sK7/z1rRZmaKRao+qfJ/Kou5wttfG9V2RQaqNMU+8C0xnjaGwK87vp61154Egp
JjNdL3W4r1vVV6T42ZXjBAaSba3psoWWWvVtpTUYool4OKim8Lh0oINeYAi9QBNigSuovXlh2xyO
nnLeCOAhHoRd5FIViETQfzErO5m7oBWqgC3UJwADJKNv3VkDsuGboDKmADu8ssV/VR6WkQBCCgGJ
NKqHtZSASVh3MceGvWBlAvOkdIKMxjnUvZKgPHCWPDG/6OAuSWAiJdKsh8Htz+i8ezMHjIZa8yoH
syFqE/BGwDipAHQ8FWiH4Pdkyq0a0iC4Twj+04IDQS1aRGYanyQgRJifEmPg4lmjV+BLeumhFOvQ
8+ZgSzD6Oc7H/FSjY0X8gq4AvYmtNBmqSae3mAQJoIo7oz/tUy8+wStkPoJmEbaCmYJCS7ORy9VY
lQNhYCKJvmoO4ircl0HFlKie5RYKoEFyproAzvCzXjSZyFYQ3bBCwGvI/oyDIOW/9LYHpnKyrylo
nOVElzb+CnYe3yuRf20K2K6uQ/3EBckLcukSVQ0UMwHyuQLu8xrzxNMAADFY+uILRLBMyPowLLDc
9Hik/ZAL8JAUJly/UqCdXECLmdcfc2Ga1sLXTM/S/VjAkBA00QqCTDYglKGAKk0BWuJEMDfzWvTr
u6kkgE0YigtdQJ2NAD2tJ/yz1A9rAYjaidEDcjSXowBLDc0/SwV8WgggNQRRLYfwhysgVtOnjQPr
Z2GV9i29pTsLoZQKKhsnHuwf8Tbk9os02IvCHc9jcNwqUBeOe8Fkzc50cN7YiS7GwfweCAA4FVBw
2QfFRBfwsAxOXJtMOwXkOKNbaQso2ZfsW4mkDuAFYGYlpKMtlcEiAoE28uRcA5HmSnfRVjakTgFW
e5aOZKz4roNi+4ZKfgawtgm+nYNzD0GH3grkW3LcBaEBGQqO6toOLYD3/rQ0mxU34usK7FyxzJNQ
gOmygNXrGAaOIaB2GGQP5HCzxEYP7KyPm1kOMs+HF75q/l0hQHtFTs5VUHz6tws8On5Ikju1Bcxv
CcA/Afmv1xQA/9gSpADw8BJQDKKAJOP1KQnygPFEIxCEAtJVl52gGNRwDZTKvYNqOeAKo5aINvUD
xx5PYvgJjQI3B74CosplDX9hNHhR+Awh8rrYdQ59eA4V8Wk6vAc8zymaYEI0ghLB6ZwuBhA6XY2M
CRst6KB/5DS1dhwoZXpZ9RGp3X2r9CKHoUV3oI2oVwvMukL7FlpJTNJcQqhCEYQVLtHYzyYVJAgv
zZAt9rp60Q86h3GgnPksrCl/c+M8JdhlYrQlf5za6m/HgvK/VJT4GNM8Y79mCHDbk+IDLFhQlJCQ
RDordGB50pq1T2CPBhyr+rz0kMtIGEM0dH8f00+tZ2Eq9Otr7mn2kN1/vOeKX3p1RpOLhdUDWzUc
qzf3XCRohqVyv9QJeVC1V4R6ZY8mC+5G+PrjhyesA57P6Ce7f/TljoZUS7CK/lLfWRfNuDdHNK1g
QdlXFC7cSN3e3XKLrNBr2w/9i6IJCSkhqYXEQ8M6V3CiZ0PxJFca51GedWY5afJRRqMRWLo7I+qw
xm1l7XNtKp7z2NnVQSkRFrWkhg9lWldpLKH81Cu6an44KHNvlCQAT1pZqK8L3SexENOxnpvyaIwx
LGnobAGXJIQ2HuZJUG/BxGGmDxPC8oiODMsAw0qra2jjxOSOY+1C7+mg8EoA3zTBgN0surg8954M
PhsNqH/uYX9qQhMwZzKUfmllBGSX/z31n6a+EHj8eupfBatyE+gifutl7qsyFrkKmRZgB+o7N0dl
TxZwB2oLQyfV/hXogmJExEzgILf23OWBLwUq9a4D2EI9S2eZitL5Sz0e8dbezX6KZ5YgFSpoCEvq
bYE6wuP01SzANZeWOkYDI7l0yvfMe5Ad5iQk3dJMTwIbtCHoHJDFnH8vVescwsB5U+QLQqG+xE3z
nYyDqTxI/X4V+XdpaewXJINqqQ0YQDJ5ZX1TTB2Tvr6myIqOa4N8KgAe6CIeFKw+vQ7ltBC69hj+
Mdn0cpB/g36Bi7l6bMCtwgFqOWLlqITjnapLSJH7mpAHcpX70MK4KTioGmKawnS8oyd00PlRMNWj
+qK3/G9hkt6MdnaC+vEOiCuZRIb6KOEnDsr0NVISdaI3xqJ0pMVojRcgySANRb4Pk66ZQpsn7RxY
GbYuLHq3O6wDzLqoWQS5dd8qSCOvcF8cEvtr0RH5kdeDdUg5pEw6l3aFHBNf1EkHVFk0HILSPWhQ
PWZ6f6hS/nS5+aXLkcPUSXkTG8MyzolONQv7iPvqLVJWNK4ZPk1yf+pFuTHpPEuaG2F6APEopP3b
HMMbOMRGEwcgF3td5YHQt++e29wMtsHdWKdtTsLG90iunElcaOha9JVmseuABd489T46GQsgCfyn
ruDJDl1rzuV+gLo97Nt2N8+RoTYVY+Z5MVJCvIfYBaOQyumM7U/x5y6Ktn00iEZP+Fkw4Mecy/Vh
Ztse9gWYEClqDdReZHJJIkKg47dVVWA+y7gtsGCoDbXG/RyJ/6QnWlwXsnV0jTH1sefTxs515zRp
CpJTM+0+9cEI6OioMw3EW6Q08V8dIWZjdY8FIwHfUfEIqcUkFIOg+pR6wVIGKjwj+mIJVqGlWWeS
r2L4o+Y8A6pPJvl3ca9/S+0e+6m+vcqbyIcYRwmkF8ZDmFePmPGvxhqeQWvFXz1TZypoGt0iOFER
IZJlKgVzHCu1uW60F1zCvBnkxQPdL7/ZkVEvNEmP54ZrfxtquPu5btIPsroHLOYgyGHEwcwhkYPu
kI0u1vFOY086877F0L892iB9+KDTHDMS5gupdGQZH5spTqdZftlqMOdJm7jJhSTSzDyRwjfhQEU7
JZu3LsKqfYN/sZXu1huLS6q36aBLFb5w31LDoLs0YMQhWdYYzHgURoFWNJNMKmfTJOxC8qtpXPaU
6OLcI2fwSzNk3mHkw0cy07OxzBFH5egh9HIa6y0CgWKISgoFttO/Ox8CEfz1uXJdBikwwseiSvza
z4MFhIB+h4K9ujg8RNLoz8aHtocppfFT1P8iUSRbyUSJiCmlyhwFd3h9qvDvsozDjkOON2aSf+VU
gU/w4VQxOPEcrCf4H96KOHVegflEgPRmUVTJRUpWqH5aqQ0nydAEbGl0LjvVIc2iZdtEEHGPK/f3
UcgLcEm7gmGG5Nj6MbSdP89RIpQgjoWQJhCTGs8a3TqThWwB5wv0itwVILAiasACjGDEHKGDn3tn
XJ8iiINwnLFaOa+G+kES8gjD6R50IZjwobg1QkKR2cFxL0QVmhOeSnlxUcqZMcuE8MLnajmrhRjD
GsoHKcOiEUHfjxaz9TGJhn0ZBYeEksPvamWCI+aBZdXcgyNSR4Tmwyi6bx2Sv5g72DREFqIZ9Z1H
ibAPTc3G+APtiIdr/xxsCD8XoSxRkJiwGrN9jkX04MhPgkA9z0QgAgEVV7KISPDJSuhV+SiRjZVe
J/sQDJeVDqVPhCuU+CD0pC2UTs1POweJXN41GOZmPdk0qchnIKfBCXGozWYy0Q0kZdyXanVejsGt
QbRDpBP5idkpaQ+GeUFfGcoaQRCJH8BgquFojlLjce8LrqpAOyOF82x8ypGQAxUgl2wJo7CTw1Ch
NjVE8gRHy4VkQGlHNO9NDInscnJjjkOfrKxQZFcUXnzqQyWlt9Lf0Gw6UjvsKB0CL+yMrjudlvN8
oP2KE4F9WOapuk8KBz5FJGaUwjEuH2J7P7L8chaKZA2zdfu5IdI2FHQgU4vuODmqX10COeKguTDl
5lzOUhocklPsl0QS9TQHJx5xHireyZNeJHzo3YjcWy4PEwkqSKlK7j4LzZ12WXssW/KZz5+Cn4TN
KZVfzNa4wIv00AtxATTVkJzFjP4BV2yFCMNoNG9qKHRy4n0ljnwFG0WiUsF2ymi4RLciv8Ruxjuo
mMTrqCjGrfxWasg6iavuRkIIM+VXIVKIRBStja4GSR3mmmpCNVayxwTRH2YT+SkGa+eRPniTeuiB
9clcaTCemvc2kgCrSzzWSmmTvh6oU7JOD7oaBnyklf2ydvNwJle5O9NK4l20KLxtopkVBzdaDeHM
FkEwrLWZTidmatdWvZ9WOEEbHd77vaK6Uy2Tj4e8Ix0HYmMSBtqM680l0cb+fEgLDJJUBIUplDvq
QqQGT0E1JNYgoVxGPYb6zLUrXTuSBsRAFG8SaTeZVc1hY4czZHoQPLKvWI08yiIjJ7f0x3KUvzmE
5xAJeJYPw5UqUnWgZPtzE6okRynE3KZaxoA+k2A4tLOREElHULohxjL3SFOp9GlpD49qVX73pOa4
y+rLOJdOIVbS4EjBNIn+0ZwW3E+kARkiFyhsIuFNRFZQWdeP4ANIlPtOncW9tQyK8jtev7gOQFme
qCJ1qO9s86huILtWhmRDFtfv2HWLiTkAQLUEF9WE2cEqUgPovfZxJdKNvKohdXRsj2BxtrTIvC+m
3y/xkcTCVKQj1UUF3Odhn1PpxYGZQPXD3Bbbrv6qRuMhfMXncU98exEFWGelRsmiy1gStnkal3jv
Zr2LIkoDqGrcfmpJ3pXr6udZ7lw5Lu2dfrBRIIIvYjYNLZ9wek8pFlAF47uyo03qdu2JRBuelrNY
2EZ4a5mIRM22QxfjdDphr/6PPuWe2egBvMn0iA39y6BnJH3JCUIKtbnMEezhUm7MWnC+fR/TzWlb
afrEMMlTsNMjMoT1KQDwSeW3lwHchYkKfcQNsBmxshKbLS/md9v2yjBD+wAc80eV0S128tKd4BTj
T82wIN14lB4dHVFk7ZfBPvkVl+mQ/TA11nYRW8gNEmjCMbxLdANjSoClg3A7K+4UOxGZSHCbkwHS
uqYS7umjUZpl7NlGnsqLEF/2RSyCZR0sGnMmEiZsi6Gm66zwJ59w3JXTTiNNte5lb4F8iTGFN32I
+BJHEj0BG0QOp2VwRRq9vfGH6LLjTJzWIcbsgQHf17AM1AXSwHSDnjNrQv7NFqkkuTR2s4h0iEHS
MvxnLNrLckc2XWTeGDV5fOnwYGTGRejlq17hcZUe3gnh7qQjPGNiNukJdLjijBSoU87/fmJZ6QEs
wcM6zsupPqgN2aakpBRxGB9WY3GjqSz8ONVupUE/h/Pw0BUxndnwhsNePkbkgn7Xdg4r8jlx37t2
xuhAk4DjLNKWhfsYgnC9O3ANjV4GDfdM5LV0yClnqmXdB30Gp7nM0JqKoIkhs78oblLMDaTCk3Ts
03meJwFrpXEP5XJYmhKTofZbdYHR8nWfoiK2Xeko8LxlGVozDwNdFD/5flbglZla+UUWEd1J/9Sb
k0R+n8Mnwmgt+KbLyBfCwryQG/Nrppv7bh73B6OnPYYyjRKtxUxTVUuSCPrUX5gWVlq1id2QnNG6
SUMBXAeDMylG5ZtZtWcOAoQ5zDgMSyR2bYiA3iy0sGIzpXApp+pphI51WgduOC3a/DgQ4Rx6Xe4P
ow52owl7EDk6CL26nwY24I0sbgiF6qbTDMbxnEzLB9+jaV/YXrloIX5AUG7bGeohhNlEfQ2SeYu9
rsLdzDWmSSFd+2V3g1IdJWngTOEWcnVT0E42wOoeHiiYFfpXtWkVhDbXh43XVNNEdm7IWKPj3jlT
rarR+OdSgwEb60nD8Lv3pHimRumhROXEggxlxCrVj9xLuOtwnjNaHCHhQYGKHDl+sOq4XEq5+WjK
GHhrNodAAgua6PdHq0r8mRqr9+1QHjuc5JPBMu6r1tovbFh5qaccuamWzpyx1ae9Gd16SVJNi75U
pzaOYigV8AD/IdsIRZ1En9g6yLDShEe5URIk14ThmRpkWLaiF7Ht6JsnGeizuvBaAfeZ5I30xUoc
E/w5O9Sd7ran5kLbP5LqnGfpvKhpuA0GltFJVPBxdLKS7Y7keXyjj+0CSwQb1DyyCuyLuu6RXAxM
Czqrn5NRuZDb5i5vWbp+qVzGXiqM3rRTzQzgaRvgaE2UXxEFZ0wNbLMoL3v26TI97fUyXZSmjtlD
fY+VMjbmQX1b9PA1kka+oR941A/xNe2OZNYRiJ1Z8o9WBCjaGLySlmV1M0SaJ3lVLlK5tyc4IWI6
l8sZszZcOdTGfmvCfu/T1ZiUR6MDr8HDqVFV4ZmG4awmdyZvaThUVHlWxNaHEqGBNdpZZMMHvMnG
2pf78tH0KemsrP+mJdR8LcnpAU7sjZUeui6JcFG6pDnyI6ybc10vjpKgVmYe3s9uS3IdnhkHQ2F9
6X1l3hskKLhFdoX2+oCrPTFqeNvI4UU9atMhwGVu0LjTuvE8KNuTss8OmyCfxobcqkdVqEA39yw1
uozT0bwbssC0zwoJm9/L2KhJmh5sE21hLv2/Cet9viYLYtn8iVd22azK4cuq4pCtXohd4rtPPNTr
7H/7od8/6JnRdj3kMNqWD0mQzoKqLoP7+vXtlCwWmpdvLrRP7+npDf/uEfGSs6N54NmatQerzaQN
7+AfxxdXyjgj1Wn9bUi4zh7VHORwbkRPX69bCb8bhd9/wPVw/v5nfv0JwArWlL/Dh3/+Y00KVLjr
/uWR4DmvhsLcI1sYRERnWJ8/6oeh4HuKqkBL/bOfsjODADv2f5kObwfB2kOIYENK1NZjwEd9Mwiq
uqcyRpawJN7BMYDY+b7H898sibdjYIvwEe6FolPz9sPLAARP7fr1alm/1KsN41dbwu8n+qcvBpHa
vvViEMCJMKlczwNm1tuhAEGUYYoqOiyenZwI6nqVriUqPxfpf9gb304EZ0+lpMDXi2klvhjW94NA
R0cXbPQdHQSRnLPlTIC1JZAqQ37eEeh4vh0ElUAeRA6Ww3d2ciYI5/ItB8Hcs3DNMGALb14OHJOW
DWJuK2ty+u7tCfJ6im6xHCAAWEJZo8Kaf/r6cDboewi7NM6GnT0c3ksH/pfDAYGR4xAEuB6EDcsB
F37Yj8quLgd1+z3B3iMV1iEW4Llq3LQx4nKtgESsv3Z1Z9j+jLD3LHAgODTPn/TDQUnNgG8OM8J8
OkN2tWaQ12t2i/1BQ81KwaAjjvnF0kB4w2UDxs+uDsLzxrXNIFgQo02AQfN5k/ywP+BYSuPZUlDe
iK9dHQpR7Gx5aNrChkpFxQzEKb5EcfX6bglJx7ThfGNevqv7w/a3SmpI8RFNQmI3D4II87YRewlF
9G6WT9ufF+wMqOoURyQVvZ0CKnPEhhVq7GrJILQD260DPIotm4sSmv33n17fQ8auwaZ83ix2dAZo
25dN6h7+AniBqe/3QwXpB47PyD+eb5o7OgbKeqPe5mhgDPj8aFJoWYmv91WTYuwZ3DGwnt7tUkHZ
vlQwaTOp7AkQo14KxDf7giLODseEX7OrVbSy/flo7KEfEeXS+s+9qfcq7hoKbcldXRTbbwzOHldG
ctLhwD59fSgS1D0C1hVoubtaJOjrKbrNzoDBpk4UmWH+ahDgLGN/L9Lnd3QmCLvQ7Y5JzdwjDO/J
1WY9E95vj+j2ybvTMX7Y2VphPUW3mAkizwBaOjYC6zH4cEaImllEXNNv29GZ8FzMbzEIWNHSekaK
jcPR0xdH75vTARACpyKMZHf24vAMEW0zCDoyBVXVsNPZfJvmiBQ7AmHn6+vVrl4kn/tg2wyFucc9
kisCTejN8wG1h0nTDYxyRxeFKP233B75c+PVRW7YL6pHgcyxMQhty64OwvYHpUYJzc6ApO0XiwL8
0kCgBkN7RwdBSH22nAnOngOjnJbjMxjxoQ8v73FAOMj3drWlIGJ6thwEbQ/LPAPC9npL+Fg804ij
8QRYv6t7grb9NcrGPxCpGjlz6+XwYSaA0mKEgBXCbjcbP1g6/S+4DLUjH1Vmzr8tFoCtyDpQ6LTs
6pawfZeRRhJNRJoozxXT+9qZLgtm+zKgza6Owbqc3aZKAKimw6SL2Mqnr/djwP1BdaD3OM66jNjZ
6bB9rWDRcRRyIrLK1l/v14TwOZNx/RSh32zEuwdXC3+1LU8IEWiBvBfy2i/mw1NP0tSpG3d0EJ7/
OtstCj4evlMv3dUPJwRVIzmzbJy7uhz07QsmXcx2wVD5NXsDWrcmvGlflstOLopnkGSb+QDJUcNY
GP/D9aLgr/7mtITIgmMEgkRhF7GTg/A8UbcZBErDtZHFrzBaZU8MAcSuXS2g9e1rRy7VFjnUsoj0
EV9czt7MBNFkwfCAmbKzjdf1FN1iJtBuM7Av02zMuZ++GNb3gwA2hUD3+QK/gwfl1o1XwevCC4OP
+MJh+TgIJr1pgx7Lru4J6zJmi5kAeQWcRYWt8HxGfFgOdJ9FV3J3uZ4iTHe7konlAPZo0nf8xUEp
ekwck3B41jX2rtYMz4fXNvOB2wTeSZib/uKgpBGv2aqioLPf0UUh5P/bzQcNQqfNvVL+FdnxqVoA
zjafKbb/1fb4X/zQT53N1A/ihyeFDbmrm4Q4v/qBF8b9x++/ko48CWje/KRQ3KxffC0wEf//X28E
OOrTZenVd18uT0+v9Pz7zx/x44u/ebGXz/XyjwcYGy3Le394+sbw/EbXttb/jnG3fli+F76INujL
v21QC72uEn7/dLwcVi8P+lNVI7Ol/PlR30mR/uuHJ8uHrHx50KuHs3ts/fBJU9eb3jhvbutnT5fx
suVPUr0869V7Z9Fv/3x0gpuMVmUW7ic8PK3L5R/TrKo/zBr6H1QNW7/EbBX/cZaVG8efmnHr58/j
P2ZZyeR5edar8eceu/XzF+WqSjc9nLN/64fvx6s0fXnOqzf+Gcv1oEl+ZPFD/fHxgq229Vs/TPJV
GSzjl0f9+e4FCWr7xyP9f3nMq0d/xoo9XpUbxlxQdbZ+18dB6m3YCITucOtnnyyjDXuYkJJ8wqOr
arVpTD5jgZ5k1R//Tr1VvNo0Mp+xRE+XD2zAL+PwarZ8xhIVVtebhuYzluh/sNF+EhZvcWCfrlL8
P4NNu5cg1289bU5X5f3q4eVBf467IMhv//DfeJduPTDZxjH5jFV6mqX1qlwNLyPwalQ+Y6WeLfMN
E130HbYe8LNVu/xYOxqy4BVu/fDzcskW8PKgV4PyGUv0Il7erzbUjkLDtPU7vyBmcFNxJyD6rR/+
JaB0rIKHDSMj0O+tn3+1vC+5EqT1hrNUIMuf8ALpH5MVjnibXuAzTtSrpXiBMl2WDxs3MuFK/Cmf
YhasvE0f4jNWrfgQC1bAfVDdb3qNz1i+4jWOsmXRbDqttM9Yw+IVTpqg+uP8R1Dlmz7HZyxm8Sqn
y3q16fmfsZ55PmFQk2X5Y7mpZhBA0mfMJ15jGm9+hc9Z2OJTTMtmfHm7f+6pou2//UfwlxvvhPqn
LOrfmTNve7hfBVWEO2PzMgivBuZT1nIWLzdVD4Jluv2oU5gkGw54AXRv//B6iVdtvGw21OGCnr79
C4g2y4ZzWOSFbv3w65W/3DQ0oqG9/cN/6+q67Yy8btgJNhzxAqnd/q03NIiSTX050d/e+vG/T6/d
dmR+k8O39aObHxsWkvGfV+mmtuxP8svHZu2LL8umX3vbixY/cR+vluW//g8AAP//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F04049B-D251-4622-BF9C-663DDB7B556F}">
          <cx:tx>
            <cx:txData>
              <cx:f>_xlchart.v5.6</cx:f>
              <cx:v>Sum of Amount</cx:v>
            </cx:txData>
          </cx:tx>
          <cx:spPr>
            <a:ln>
              <a:solidFill>
                <a:schemeClr val="accent1">
                  <a:shade val="15000"/>
                </a:schemeClr>
              </a:solidFill>
            </a:ln>
          </cx:spPr>
          <cx:dataId val="0"/>
          <cx:layoutPr>
            <cx:geography cultureLanguage="en-US" cultureRegion="TR" attribution="Powered by Bing">
              <cx:geoCache provider="{E9337A44-BEBE-4D9F-B70C-5C5E7DAFC167}">
                <cx:binary>3H1bc9s40vZfSeX6owcHEiC3drZqQerk8ylxkhuWYiskeCYAHn/910qcrCXLWaVqdfHKM5kph2qo
yQdodD/daP7zsf/HY7Zaqnd9nhX6H4/93+9jY6p//PWXfoxX+VKf5PJRlbr8Zk4ey/yv8ts3+bj6
60ktO1lEfxGE7b8e46Uyq/79v/4Jo0Wr8rx8XBpZFjfNSg23K91kRv/m2s5L75ZPuSwCqY2Sjwb/
/d5fZvJbqQq5fL95jfz9/t/ZMl89Ld/5ZVOY4f27VWGkGe6HavX3+41xyPt3f21/3SvV3mWgvWme
QJjyExfZLnEZ9b7/8PfvsrKIni9bmJATwonNGYz841svQZU/0ui7PsunJ7XSGu7s+/9fD7BxG/A0
/v3fn8Lj+mmsAYgAi7/ffyikWT29uzNLs9Lv30ldfn9cavDL9a1+uPv+bP7ahPBf/9z6C3haW3/z
AuXtR/vfLm0C+V9AnmTvglItn8oDwOyecOIxhzyj7HnbMKMT7nnYdh2G1j94E+0/Um033q+H2APx
10JHhvm/c8BbHQRwCosWEdfegTQnxKPI24X0/grthnlLfg+MtySODOBglb27LGH3+N9jbOMT7tic
E+y+YbvtE4JsCrZ7y3j/kVK7cX49xB5QvxY6MrRFYw6BNPVOHEyojRz7B9Lu9qLGJ45jM4zJluHe
W6HdKG+K74HwpsCRoeuXWaMP4YR5sE49Qhl2vptkBMt12wlDyKXMs53NfXl/jXbjuyW/B8BbEkeG
8LzJv5bZkzmAsQYHy2XYtgnbBtc+wQxTBE74j8W9CfGfqLQb5Fcj7AHzK5kjAxqCrWW7Ukv9v0ea
uifYYwQTzt9YzeiEuev1bsNUeBlT/ZFSu7F+PcQeYL8WOjK0L5fVIcy2e0I8iI1h0/0BNN1e2RA7
ux7s2u6W/7WvPrsx3pDeA96Nzx8Zsn4JDMAaW20OgzBaO9eUQnC8/nnld5ETTCFo5hiubCzlP9Rr
N9I7724PxHfKHRnyFyv1CGyPfwBGjCLmMZc9b8evMEcntos9jrm9K4DeX6/dmG/J74H2lsSR4TwF
2rA4BCXGTjjFzHEw/rG2tykx7IHH5sA/eMvp3l+j3Qhvye+B8JbEkSE8y1ZFcYCFDEEzQQ72Xnvc
YLU9F3PqbO3Le2uyG9hN8T1w3RQ4MljvlsW703JZN/IQ4PITzwH2i9jkDd8Lg3NGbOBLfsTUW7zI
Hyq3G+9dg+yB+i6xI8P+fKn16gCw27D3Ysd2vWfU0SuXG2IruGy7DBJZLx2y/TXajfWW/B4wb0kc
GcKLvFopucwOYLcJpKKI69j0jbAKOycO7NsOhvzG+mdraf+JZruxfjXCHmi/kjkyvM8gGX4IsoSd
UCBKwFA7b3phDK5BjL21oPdWaDfGm+J7ALwpcGToLorhMC62iwg4Yfw5bfHKxV5TZR5jrrsVPu+r
z25sN6T3gHbj80eG7N3yUUHBRmEOga974nDmAQGCfizeV8Uj+MT21v9A6mqHpf4z3XZjvWOMPRDf
IXVkuJ+t1AH8L+qcUP49D/lj613vvRuZKgia14wZBqO+6X/tq89ulDek98B34/NHhuz5Mj1AMQGk
mKFUAHMEhSHff3bkID3sYObyrazFvvrsRnZDeg9kNz5/ZMhertrlQYr8IL/MCHcpes4vv4qaMKxa
SC7b3ha2+2u0G90t+T3w3ZI4MoTPS/3u30W0ylaH8KXtE+QQQt2fvvQ2c40hYWVTqAuDZb5jO/5D
5XYjvmuQPWDfJXZk2F8snyDhfIB4mZ1Auhm4TP68urf3ZIJOEAMnzcbgf7/kRPbXaDfWW/J7wLwl
cWQI3zfZUh1ib4YgmSIMnNePks1dXhfxIIjCDlj2lwjvr9FuhLfk90B4S+LIEL5YqkOx2dwGPhs9
12dvW26owncoBlJznYF+CfDeCu3Gd1N8D3g3BY4NXUjar9RqOIiNZpxxTtFzTdAOD4w5zGZ0+5zF
xR/o9AbG2yPsA/O2zJEhfaWW4IUdAGcK3DWconDZG4W6GM7bOFB6z7ZZ6/012o3ylvweGG9JHBnC
19nycXWYgxWu9x3j5714x0oGvhNyF+QXof3SYO+v126ct+T3wHlL4uhwbuAM3wFWsnfiUcbhxNRz
ecgrbhOdQJrRczy6VR5yne2r0VsIb8jvhfCGxJEhfFcWZX6IuMk9sanHoILzrT0ZEpEYNmWInDad
rv012o3wlvweCG9JHBnCtxJKsbV8OsyG7LnIofSZr34dOnFgtDmC9OJWcPxHSu3G+fUQe0D9WujI
0F6Xv4gVnNU9REaKgXtF1mel3kgnE8hIIYLgIMYW0/lnWu3Ge8cYewC+Q+rYEI+XBynPhmogh0PM
5NK3TlqQE+pi5LrrEsCXXtjd3hq9gfSm/D4ob0ocG8Lf17QqlupJHqRYF85IwQE47AIP9v1n2+uG
uIrASQvwzLeA/mPF3gB89zj7AL9b8ggnQCBX0SFs+nc3jDtQE7adbOZwcg4WuPvT2r/Gfm+d3oZ9
c4g9Ed8UOkKwp8CgPEr9WP585v+bZiTcRYgDk/0rdt6oLgAaFOp9sePSHcv8l0b7BINvw/16mD0h
fy14hLBfQG+VQ6xxDmdqoJUBBNNvVBLBUTriYqgl2qr2XHtPeyv1NuqbQ+yJ+KbQ8aENR+rEUn1d
HiRraa+X8jqj8fbxG+a51MZw7P37z09D86P/EOD+Z+q9if2OYfbDf4fgUc4BH7Kah+BfIPKGWgSo
N3rroB0+Wec0oSxli2H7gf3eav0O+c1B9sZ9U+w4UVfNuM9O+of9xqBYgdvYRvh5VW/7dLDFQ9Mi
8AK2S5GeQd9Tq99i/nKM/SF/KXVsiEudyqFs/vd4r3sUUXDYyM/+cuC4bbt0jMJxDqhQ2TLwf6DT
G2hvj7AP1tsyx4Z0mS0PEqBDaZkDic91ivv7z6siJFjXtuc66BXxtrdGb6C8Kb8PxpsSx4awWRZS
Z8vmEEkxDqfrEJybZW8VCUMhKVrXGPKtOhVoyvgHWr2B9Osx9kH7tdSxIb5uOnaIVLcHzS0IgU42
zy76q70an7D1qn9VNny3t0ZvIL0pvw/KmxJHhvBH4K6bg/jg0CHQBWIVvdXgBM5zQKtIjBjaWtB/
oNJujLcH2APkbZEjQ/l+FS8PkeiGNAkclWVQG/5GqL3u8QuBNvQP/HGseoti2V+v3Uhvye8B9JbE
seHcQB/BvDhEthu6IriQBwGL/IYXhiAhRjB2yZa3ff8HOr2B8vYI++C8LXNkSH8us0OQpe4JlJIC
FYqAF9kMpiDa4nC8A/oJbgZT+yqyG9oN6T1g3fj8/wFIf6/ixg2vW3j/++ez3ZHy+PP26wT6tjIg
QXcvWNh/GYYKJQyHN3awoNC571fP+B/57V067Ub1pezGPf64xd8/lMM0V3+78fqvHvbB0iwn37vf
v+i9/vur328fuvZviT4XBOx6YM+XFk9/v3cgIfEC1PUYG5UEL5/iDwT+I7WCsoe/31sYQ/Z6fSoL
QSNmBzpKwYDd6sclAjT4+lQehFUuzIJ1dqOAbtHx3+9tCJgxtAyF9vwAPfR4BgdMl836El2fBoAB
IVnmQu0DHLf99WaC6zIborL49UCef39XNPl1KQuj/36P4TuqHx/7ripyPNj44WAng9idQkcdsCrV
4/J23fABPv3/zEjLqm6a/rLoqDdpuzCuREkTnvop79obZjnDadK3RTpBKDWfTWm3H1Jb97XQXlE/
vHh6u7SBusptbSCPDz0hoL0avJhgbcleamMXQ5V6cdNekrrAl1E6FqFoeMliv29N6Ym2s5vPvK0s
KVTumtqvE5VGIhw1t30o3S2ePGPQFYwRNwHJMvxhdCwXzwbmhCs8WLif/l5jAtWArzSG6n5oSgMt
iaCNK9rSWPIYsB3MJe2dKApYP2YfWuBC6NTwoXREO/Q4CSQPXTFyNkgxpIjO8lYNOFBtaZ7iXmvs
S6tyAg2vnWiFyWPUCq6cNJpEZRJfp413mmsv1gFUwngfdVyfpVnn9BOpLXYhVdzms9/f1WsYoIgZ
QSMW6B4OSfbvN/1iUvDBijqryvRlYULvYxm5mAg7JTA1qqLpr7teeXdViLNPv//a9Vx7ORfhaCL0
UuQUuqPCWRhC12q9+FoH9ZFd6ai4LNwRX+I0bi4LrXzphvHH338TLJ9X3+RBKRiHXkHQzc/dmmdV
YQ9jreLy0q2Qvay7UmWz0LgDEWkVT1DdZKNP0eCWfkKdLv9vk2Y9KTZvFCYK9MawoQssdP/d/nrg
0WQcFbm85HXqLPOkcZZpttbBGXM9YaosxYAA+lmX1R0RdVrylck8vei8wT7vGVXIp11Spn7Ci/wD
VRWhQewOw6qy2ipA1phz3/FKW80dysZG/P7prXvgbevP12YDsnPwdhDwRjaBQqxxCscJrQvchPlS
KqMjga3UFLagw1BEp10s06+R61Xn/VjHU1bavfQJbvk3w8ex9Ic44r5dJu1KKsqfWqeK+envlbSd
VyBTm8IkWucaIHfscPB6X04nplyJVGzoRWLXVei5gfHicdabnnpT0zaNr/oa3bT54DQijmPuK1zM
NFHVLLMr4qdZnd9WmZP3gmdd9NAlebkYtDGicurqA9OpG4R1EfpNmSRSSEOTToSJLi67ytJXtTXS
SRRhLxHWGBa5T9o4nzvMZLckia6joaC9yBpeX5qwvjckt2jAWgIPUg4EbIPdjKNAnZucZ7Hjfg5R
Y5/GzMXnY9S3nt+h2M6hX/cgF5arhlx0gzsGuHOsYEz6x0rX5q5BFo9Flxs+DXXdLOyQkPs6xl06
C7mFpRjjNPwKOTrVClnU1pcm53lQVZos0rKoFrj2sifZVgzWPc3TO+mFPRdtbUenKlSNP8BzmGGb
eFd1l/cTu1P1FOMet5MMmqZGfttFbu23JA4nuaYqaCrvKg6tCAUYl2YOWw3p/AIlTLiGZ5/6HMVn
RHnVnUONM2u8xCJTzfJx6bJSTTTqk3Hapm40tfoeLYnOum86qirHH4lBjSgi0kbT3iQlLI6umwxR
27hTVYZxkBmazwv4qPCYrUp40HnLRaKTxPJ52HHBS6cfhW2y0KfGKvKZYukkspsB3XQU2/AmH4Uy
kcBMMlNqOk/Pesr7c5aOYxbeNF1t8lwMMhsK9RSHMSHjZ91ZPc9j4Skw5eUjGfLEUAU99JumQpcm
NXnan3qyHmet15hwkSspK5GQrLxD3KKLZKC08RvAIBRDjbwe4MpdNyjCEPZDk6VdPWFpFyFfZQaH
V3GNGC/n6cC7OBj6zDPnTBsKM6oLS6w7v4G9cMqsOAmvWlg6LPJrt3JhwtFU59Mik8oTWQ2bVzjp
W8l8KwTP1RFDiAobevCGee7HXtOF0y7jWT7RIXgFU6eI8tF3RwcsZkFSu/HzWFmZaPUQ6WstrTyf
lJF0v1lNyyUKUEnMTNpu4146VhiFpwXlhjuJX/S6Hoe5hlyRiidVFPN8Eup2rKee0oWcDhnLhznS
Oq98hwyZ9HnvDNlMyVpaPsBKHqwqH3EA5eBpHsAfZF1lCbI0PPKieEjy3MsXVHkmm6SxYbdjYyid
JlZJ8FncxZoXgsckNrNQtVVxB5sxPU2ikaTTpgINJqXJonHi4n70fDcZqu4idweY2hYsFRWEGDen
ijpOFkQhjZqAFy3AKbkG/6QYEzqushROJAQuKJAHdMjjeoGRtOeR5CnzSZrWNJClDIOxCVNHWJ2q
vOsk7BLbp7JORpFXyWidoTCzp7gKIwfU9Xg1wUM8lotY4i6apJ4dd2L9OYE96RUwfSJa+30nrVGY
XlpfFDSDGiwhYR2RSzwWcpTCbW2L3g9ZR5pLVnlDGRRebS6cpoAtKdI8BQEvp/C0Qhnj4vOIsyI+
rYc866e6c0Z5hk1k7u2EOEunD/NQuBgm77Qpek4nmo0SlG9wkgcZrVPtu104kVjWn7OuA88iiZL2
Tjus+1qpmM5b3kXhxE0dREThhjCOk5VJPy1Uiy/HvqL2jTYOvsfGgk90zNKub/DA+0lL8kTOVU9I
tyh4pMmVtLj3sUD1enImSa1nPNOxvu4H27g+qjvAJu4KUKzUYHTPYAfzPlIXwezOwUqqAFoB9+XC
aC8k14lq0vSWuIVnL3o76ZoL05u18xkP/bWTWqyflF0OX12W49iKnuRmnKGUr29+rXoH9gn0qnJ8
aTsF3EVTO/Co4rRMR99LW1g6VRal8qZQHJa8asAriOAa2FRiiviqxvagCkGrGAHcneqbi9yKKy0k
aup+2sPpUzoZ2pqsjQYsJh/uCAxI7+G1n2yK/GMIb4g6dVspXeHGTgrzYojYsisoqNGrZLilpkf6
LAI3NzkrqyJN7lzYLWa6QPiy9qL6M5TXs1rEdizJaelGXnMWxmXUBoPidQcO7kBnFYHH6iNeD49p
ljrXfaNROa/R0KYPHcsjPc9DK/82jN7ahsg6iwOIA1w6kWSI9bRiufdgoTCf5l0V1YLbYOYG1cW3
sjT6zMvTxAkcokgEZg9ekCPamHgfVWK10SQjBSyT0Qqpt7CLEterHAzycArdYGFtdGuLPUkcC55o
347tBDaZrj7DqiHMD73MtLDT0haB610nX5TXevfWAG766egZhZ+MLgYtcox5u5AdgaH6HMejb3cR
ixYVwNL5Vuqx6Vi2rbnoB57dJa2uhcv13M771pmPHQNwUoT1OKuytCwvCtbb55ZBdjmJ6yJvz6Kh
q2LfdXQe34Mnop+QV4AZAdOpW5HGutPC61q3hl1gqO+yqMbyEy5H6rZiBA9s+FAZankwmA7VJOZW
Gp1aYdV9jSNktX7GNUsX0kP4ptdWOM5UU2s5kWMDk1QSk9DrPs1G5zJnVZaJumoRu7BxbPf+AN6N
nnRxBah1biEjoUaeg+3QOpvgnvYqaDPiqtno1jD7U7uPeDCEA9J+WGlWP3TOgO+TWMFcg53O+whz
PdfXhVdgMLCk8pKpm8esE33zmbhN52KRpi3/4JCi7oLOiYx9YYeZ297WofYUbO4woyeVpIAmBA5D
fy6pSctzrqqYXpMeZWwR9qUH99X3VnSRKqvqglyHYDPAG2vMRZaFoL/y0miqYzeNg65HaDHUNqz7
gTEuhR3G/OK7V/rMXVz/cPJ/BOCPZTUoGcXPbwf89eu/7ssc/v3+orn//OX65YL/+e3i51sJf/up
2apc18Pp7Q+ttfk1FijzrN2avtj45RWV8gZZ8uMlh29cfJtJ+dVfec00QDtP6sCfF078Ljrlx3s5
fnJsm4I/GZV1S5M1IcYYBKnwHwjefjEqcC7Tg+ag1MNwyNpZn6d/ZlTgxRzOulEddHcHswd0B1z6
yajAsWxoWQa57fVbdqA8if0JowJczFZ0tK5QXh/yZh4C3xd6xW/GHUXktm3WuuUVQlk0r6JwFkeW
KxTtzhreDn7XEH3eN6ScUTTSmdc310ViQ8BZ5F+VTcpAW3qeDbEz8Si83zDqGBWJHdd+E9ujSKyO
BLFxLcFrNgZW1+fXdeQ9xM6o/FZR6vdoPIN981w59twtPTCXVjyrh+ohdKPSH2v3YlSDmfAybefw
csvTKE9qWLDO6ejKXEQ2v2DE/hA5VSOMdG+8jqdBoeSNQWoJhGYB5in62OZOJToIY8Fx462ftuMF
K/hDH8L+jin95GXlA+vbMy/F5x3P7i0nvzBuV/lgyj8UKkTCwuCSh90ZH+3bokimOLI+E9n7UR1N
Daq5r1V1XvHyE7y/8pLGeSJip5+1vVMImBRLk7laFH0WC4ubiWRjLHCfZQFVPQOftR4mrls0k7Zt
B4jK8ivV9eBPRHRexkSKvmsuu6xtRDR2eOakZpqw+rZP28R3Ulz4Fhmvacgeianu02aYgj3KBY2K
695m0yHOFxK2dxFyfc0a/iGuw2hS2cMnJjVEgp1TBUDqpn5WyHJK5aCDgvCZUeON6gs+xXF22uNs
FY85bA+GfGCxwrCdkdBnpXeVtJxcZiGf9250V1/a8YI1yToUPGNDkviQ051K3pbCrsF0mzGZGGpa
MOXup5ixSDR1QURWyhnOi0KkefmYclYGiRkSQWo8zVwwzCiaDGaYy6FNRJ4nX5WiKzgPvepKFM2j
2r5cb2p9W0dARLT5JBky+yN1UvDfB5cIHkq/LOrT3GGLzMHgKcZT5UbpFEMQMRn6nvgkYsPMbaqS
i8JpzKRrrRtZdU/emHbKd5BMfKTq2VjbWnBTn9pWTfzaruYeK2NRkjAB54+7ARzQnRMrKmal6pfg
3t5LVAatzifIID+CqQvzyHsoaUv9uDbtXW3jeiK9qJ+kvBlgIkBcj8cGT0xWJYI62a3XAk1HQiqA
hFkUHjsPW41FnqokyKIE1gXPmombVHhK65IIeFsEmloZzXwE++TZQIqb0IofadTZNybMb11lI7Gm
ZBaVhnuJTQd+wNhMtF1mIkLjVVnCSknyvhc0rq5D7pzHOUJBhRJbsAQeYMG+GINPdXkjbbsSSrnX
rpuHi56Vl32YdaI13alHyidbZ5Woh2SZ23k14alOA6u30qAaYX50Tg0kXe1EQTxaMzr4yfiFRPSp
VedJstBlN5FlPfh1CNOgzcPlsHZSyVBfhGOKRUGtu76y5wWOLYg2449WlK7SBpYMKUqY25Uz1V69
yK28Eh6wLrDZZ/dAfnzz2rLzox7mHc34zIa3y05s4HyEVY1GtFFdnFukdy5wkd9bMq8v+xaCCQj3
kwn3xjDox9bymzAs/UihEpzx9qJVqSsgGktE5sm7WMFsduwIL1SWxBM7BMQhxACibhhvyrBiAo8U
C523o18N1i2tVRMg+CYRj3UorJYBxZCm4bQdTBKUtbHnMeDV2vFpChG5aGh9k9v0LCv1HQrRfejI
MsCkPQ3hrOmEjmMvhS6VSq6qHqtPqefobsJ0wRJfN8lZ07TJ6JuW5mQqu7AI6kTqz64Xxfb5QTyH
/3s+AQF28ddri1/5BD9b4Lx2CdZyL1wC2NU9oI5hh4dyBmDpf7kEGIqOXTgkyhgUmoJj8B+XAMqR
4WVdkGwAtoPDaD/9AQfe/QHJAuTZnEBjHviin77PhoMHWaXn319mWPi6DdcGWwpdItZM6fr8IpQ+
Q9X7pj+QV5ldDtDf6TKnYzutUGgHJeKfuRtNSt48EMM+pONNOLQzMM8TUrs3jYk+hNmYgtfNqV/Z
aVAXwwU7TyLrkXbphxxCnABTlcwgIvzKDHCSQwdBSJ7MUVR0ftWUUwer0I/bBKgFhL9YRVt9xaaQ
goJFmSS2DKdjnMw7qdg8jNRpAZStSGj8kDvleTF4n0fLiKxyld/Jejkk6Y0X06Vi+BOsYOIz01+Y
Fpi2AeLXoKrXK2GIhJOX7cOA3C/SVPKsqHA4AUqSBahKPqRN9gUNfFzYebQItVVOmTvOx5p8AXN+
6RXKHxi/89QsHdGk9kolnKT70MTysyuteYfKB62s6JSTKvC07edFe4kTNAWX/LIf5CXwpX49qFQA
R/FUVuYKAoRa1Ky79GRHRSnJwi6nSW1EPJQ+IXdRfaH4tDLp55rEtQAVZ1qPTBjcBpmdaWEcFftp
QtwPoR2K0tF63jLgVMKOzpLQOmd52c1LA95PKJtJVya3EOicM1SOU5vFlg8mcl7DCweVFXeBIboS
sUJALI6x77TN9eB6c5QgJhAQabO4oCsjpX2aFfB9WeZrJxqFx9VXNA4yAFrsPAaCt9TJsmehJ9yG
n3dGXmWVd5lXdsASxxblkJx3UQxEJg845BKEsXsWZMhpRREPNTg7Ze+zrsUiS+1aQDiofSlN7kte
wWSTwPaZfLz2DF86lbWILGmmjSZ+iKxBEDLcdJxpn2Pps5o+DiSpfbtObgucJ0EMyFkV/eCUnajz
TE0QZM3OawsvMre8qJL+S5v3H2Otv1a12wFTPQDTxVgpyqRJ/EHhPEgTswAzDft7nT40UlVidLnn
yzi/CbVNwcns5zk25VRFtBDjANFiWi4oAV8i4e43wANYi+rKVvE0ZWjm4AwBG5mLqgWfZcjoXTIW
XzIszwzuLsqRQMxsitNQm3ME1D7Jm1FkqFq4rfs10dHCi6MZ0IqZYK6+77S8qxrrgyzZAhXlaaPs
VcnYIkXRlYWKL4XOPrC0hoc6duc2VWe0KS+aNoVsQdrfZHk760N5bjcsKMZuXnnlAit76gz2vI7i
08hGsPEP9KzKurNOo2tg97NpMwKvGJlPHY9boe1xCpmWq6rJgGke+anyyK0jq7NUtnM7HRq4w7xZ
JC25spG6iCp+VVTto5YDF25E7nSpH6KiPgv75AICiSCOhtsCZUiksOjTDJI0nXyIUj5zonKeM+ku
BqeYsbaLYXaYC1p40ofc3Y2dRAubkZvcakPwb2o/btSi9dAn1HeZD9xZFnikue1i57xRbQSkEOQg
ijH/BHTrnDct7NImIP0I275bXNCMfRldb9ZZ3cR43TST7edCNXPtoG+jjhohJZmMOvwkIdwDx3ME
bv6WSDP4mdtlZOqWDti+ntJTy87HiWLZmRc157aXLnrTmLVzeAa5nSu7zc5CIFdEUkYXXWjn4CMW
X1tpXGGp7NJC3qwuvUsFnBfQk/00rxGeSAd/lLg577H9QFPrEofJ3biGkLrO1wr3sBqjCSXdGYQu
Dz1qryjGlyjtgxiI+IkauiWx2OjLKpKwTqqgNoCFws60aCI5q938S0XpxeBBJGGkmqdlMksLYCk0
wx/h9RenNXA+cZwEjrZugJDHPrHvedRMpBy/Jhm/Gx0TnReQhFmgKLyt8uLCKlAowjqb2KPzBVds
xkkobNo588QwewKkIZmnvQ1rOVql4BAJXpTobODDOfBaBJI34OchSWe8dpSASVH5pHeVYBGa67z5
pDt5Vxfj+dBE96HS88IaIwil3I9FJ2dwz/fRkD2YOm6BIL1O0zRIUOuThA1gVvqZY5dXnYnAgx91
4LJ2bmXjzIzuQml2M2Z4riIPHg2+smrgOeN2uGkbcgeJUXeCcFEHrupS0eLupqLsQmew308ybZFs
AukX+dHJpQHjz/gZKUIpcjdrp3HNRF6PXEi3hdU5nteSDwISg0oMQwVM8TDjUeFdu7njity0xWS0
ZC1IW0sRtW0vWnhlbBvB42QQoMIO44gYGhUEFcl8IJV853sWy5JBDwkmUbZee5pkfS5qa/hWKL1w
YBWDo1qkPk0UFkz27sTJsoe2jAhEUkwFUD1QQDyouSXyhOW+yqPzDpvqqqix+ZRgbmIBgb01bdzO
udFdMZ5m7lhR0WW2K8GRt/Gk6sbs/7N3Zst529q2fpXzAkyBPXC52fytesmypBuWGwkkQQIkwAbk
059Be3lF8fJKKrvOzanKXVKy9DckgTnH+MZEBvXvYvb1aeqqG4+KXWBRYXvrY9sXd7zX57GHERT7
MvUaOubS7Z+KGa5LzOdcu8Ykk7D7MSgEVNHh81SPqSvoc1D4l9O8YJOpsnacdkMRJpVvHjpClozG
5SesrI/E14diLq9JaF+L2j+3K74mVlY5biSVGsd/6tbwHFftZVE1fhrBYqwbsYNZc5pGbNF6GWkW
6eK6JmEGVfRuQF4pidv12PHoIrTVwdVrwkV3bNmchIoI4BSCp1HtQ5to7weLDUMtS4Z290E2s0xb
R5xJNR8JcS6RKU5RCu092x8BM+wdUR553J95N3yEvnRupAvbBjutT3eCdl+Kes1rwW9tgUphCbt8
Lcoc84vSsB9e25JdOFKmBjedteN5ZM2XyCd8Y2GOilR32qvzyKtSFtRL4rfRobTk3ginTwbpOClY
kGSJeb7qeVegDWVFTZKRmd1Qu4d29J4mGqRNDUoldGBixs6C0qKHN9v0WN3FUwM9n7shHD3t5Qzt
WTLy5uh09SNjxd6n6w2B25qIwX1YZvSvdfdRQSjL0J1UaIWqr4VWU2rhXeRD6V/NIbkquP9iyRDl
Vd2hu4r3NauOrCJsx3lxnsT62i3h1dC5+MRzA0vRw83C1RymM41n1FKdmxdLRK+Vq04yGHPV0Aj6
FLltAueiGeyaOtzfGePopAhLN9GGtIdyiZ7DuV7uGVaaTDT2wlo6QsxSH2243nZO9Ox5dbHrqv6J
TChfgBzshJmaVBp8alq4B7YtPT3sy0mx8sDRHaZhJy47OAeCO+u14+lz5/Ie7oKxWa/bt8m1BiVi
L7MA/7eIJXOn/p5XFob/2h7n2KuTZRgvVr3t2mHwZF08aDWhPNOWQQ5fAkAp1ZWAvxFAkDvG5Wou
ukJH0Jj9jx5vAD7o4paZ5plUaKa3xz3yJ1jAEru50JP/TMvhXnbBrTvb6oL5Eg5Td+QdefA4KhoV
EqhH455D4yCtuOg52Y9xoBMetm8jhaAA4iHnPn0QgzpVQ30WU4Q6c7a58Yanxe3vmO1lIrv4qnb5
VRvXuyYOlrO09WPfsOfA+nc4fEmdQ7+W+cgjtfOG4Hlt2ZEZ10lrUsm9nPCHHShFyq2GDKzMdKib
xkuM7LA78qAl/j2gJg9thNZOkNNmCbw6FX7k5J5bFWudvuv4ftFC/RE3ods0Tags4CCxx2MuH/mp
gfIqQuDpyeq67rpEykuz2oQF93/+IhgK9K5L+/Ei22woyJNggrYu7h18JAqrfceY6posR0deEgfC
YvAwzA9//jJ/5MX+9TIxTjUC+RcAGNvexruXKQhh6AIICnfvbVYfHP+vsJf//BjbqcTIYRE0m+HP
35VhS6RU1DbXcsaNdqDFp7/9/mMabIMR8UVB6f6Jd+OxLFY/7Ntrir4jvAnZd5kDjsSv2+U/iuf/
+f38dK2DSECBwlJ6HbR7p02Fu9NxFkCwfW3q7M8/yi9eCrhZBNAwCClGzPx0KRoKdW5elbgm9WHU
6UCSbpO/U2zDTvcXyNT2tn8nvr59rD9clu0Wf3fZiVsBOIma5rrzU2ZQ0aV4tLCmLtNfsGW/+lDv
r/9PH0rGNVMj/f5CfpXJMrHlDvvIthV3f3Gv/eK5xAQHl/gUu6PveT9hYH4oPYWNV14bkAE4ct3m
YfHlz6/RLx6X9y/x8+22mhC1UkjktaSf6uI5cP4XtzMsnwAMG3i28Jt28+661H0TDoHjyesaK6Af
J83yv1i8gEeCWoH642HCM3yn91deOhL1feSq6zX+NMdXo+wSMvzF2vWri46bOA5xbl4IYvgnx4mV
bSeBf8HkQOG3pLRP3PB20onqstX/izv5F69FN5YZQxNp7EJ/+uPnKQsKka0O5XW59dQQldNyyeM+
Uaix7r5d/P/XZun/b5Lntp+9ewr+Q/L8nwam7lfcyL8j5Zt7+v3X/q14Ypbhdkw1BdlEv8uX/1Y8
MfguBiFOfN8jvrvppD9MUESEEMT2gWwi8YWriB/9ED0xhAd3Dw74iTCWI2C4T/+G6Inu8A8LXkhC
HJqOc2eAVkAiwblCP92S1PKejbQcr2tIgSfasOBSS3umKGXTcNSPUdtCKx/EQaq4WV9LZXrndlzg
2PQrhAZYeRAcO5kMYrkdeHBSplW7voG95q4L8GjhOvuqmYIk6ModF1N5BIMHR6grggSUBC9TNvVy
18ZdM94vvHtmkP0SB0N/YTdZKEadZ4LTZJ31FHbSlkW60KU6jY3IFq9wDoOj3ziT6N4Bo+wXV4ER
dQU7NiOfHjucx3D2qkhcUl8CgdykIZg7OW0XsutcWmWTdkgWT0xmyl/9rGkqL/EiBmoCgoSI9ZD3
HI3J4A270HZXNITCM/mK7aYGxY1TDCCrSjkf9Gyu0J6xFGLms575xeLOeYnuyzPeJQn4eV7RIQ41
vNoKREhSUwp/2aDDwxVOeOHAz9IDfytmFb0saz0Vuz7sywRoKKi90qCO1uNdKfx7WhM5HjsIl8Nt
hXb7AF0hlX0ZHfpwMfI+GgjTSTkW8ZT4cRHsfXeGeRgW4Zsoxvm4jZjYj7BasrWVN0ttrqKgO8mm
vOqJd6aDs1NmPjltlKkVxAWqVALnBALW11l6d9XAnv9ZPLAKgKHADvLf/RLAjMPrz0vH9196t3RA
e93mKxFs2l6EEuHd0kHgTMcYpRj7AP+x+P9IpCBHiuO0AVMDbcDgpghL2I+lY4sJf3vesX+iSGfB
31k6vjky72qlbenYyjLkWzYoIwAh/8cdZuqsAVVa+tfGBiRd7XScl6DP3Nr3Ex31O+V7Y6KH5SP0
DT8zPPiifXoxsEVk4QaO1RZ356DL8wA3O5EEslhNdALZZMysma6sjkwWMK1SpcbPC5PPZQU7vG3u
RFDv5TKcPN+76zv4xXUPXZVhqcBz613IFlwmd+IPRjCVNtjXgXQVH1ZVfwzBqyYA/yCv2/Y65P61
O0c569UpbvqjCFf/uE6FTkfh0XQq7R7Zltyj3RuWr7tx5uFJghMBUPSZVkvCzPposeAlwoPT6YMN
TaKglZnfFSmxakzjrnyc3fFFwMhMS1EevFHJpDOxTtoSkPEwDRK6o38l2v4ErR96kdZv/YT+2zpq
SNeGXlet7tKZ99d1OHUn2w7gsKqCZ3GrBFAzzVMGWfHKRIpA3B/hjPTB+ka9SVxNQfxlrfDlotsu
bz1QXklp9Cu6fnZZq+YYMgeUldctsDUMvTaVbWGrz7hqUJ4TzQeeitZCjOWoT6fajfbVZDmEOUBy
gY35LeG+u1+7mic9r5qklT785XlWSdX6PCdLUx983za5A3l4X5dbWmNF9iCygF2Ign5dFG7m2oUA
5TfVDup6sQtmv8l1O3j7QfltLv36AsvceR3qayHd47DwNata+ob+NUrquA1yx1R+toxLnbtFvOwF
xJac1CXFF+Gi5tE92w81nO/a6nHPPKi1LdeIX4BtvZNzTPdjF5Y5Avaw5UhRZMCC/MT4vnPboL1K
2hWftLcR5APARDvKnSGtl5kmi+Jd7oCYBQInqhOMp3nPvfJh8czNOBKZlw5dEjV0n1UDNaYqI1Da
PQtOHTN+wt0tZbRuX1HlyZfZhPUHCTw4MSWTh2VEpMqzXCVNId3rkJZAYLu1gIQR4zvWznigM9i3
cg5mQMxj9VW0VYy1Oi7yibfOgQz1bgybvCgkQ7YA2YAW3l0Ci7VNaFCPiVPPNNNd26QR3Mfb1bW3
tR3vorkVUClqmEeN11whYDAcwKC+DXL9DMut3EFjGmH5N/qyAk+Y+ptzpfvoGC1zcRE58bSnhQzu
PGd8rJganIwMowVb5VnXTaqx+zLjXcEggAhc1k1iaNnvnWp5cB1IYbbkUUomdpKtF+XzvLgJm0bs
5mZJOkRSwNPzvJLSgY9ADpXvf5hMPaSoIx7avj7FtbyZY5M6Tnxpwpci9s6jiqanRTSvczRc2MBx
EqmR9KLzOF+MwBcOjEFfr3QloF2SCw+vVnbleZqCtx7sNaCU5pLMxE0mFj+uFNGZql5pMpj2q4mR
pwFuf1T1couI4sUYVsh6lJOfyZaqvahc8MVTGWZ2URCpqxi2Av65NF6XxsYPd8uCS+iiSx8dft/Y
4oWo8bkLsDxQ0k1ZLPS5mt1PVkBDN8JHVMMovnNHF7WMj7xRoPOpNpvfAuypMdOlofPHEf56FjvB
DbMxTVQbyyMNQ/zLgYCjEA2snUGdx5ocgGnKdAqKXU1Uf12xYUlqoPiJY1k2WP1qikgk4VRlSEpE
zygf2jBX0l5Kb/iigvgox/AJdGZ4rFo3qfX6GZkSJCeUPeBDN7vSQ9qjddesieKrssYqw5STeHpO
BXMUBEH34PTRYZn7rIY5mDjVfIuM5EXjGR+CavN5gPUaS//K5d3eCfo9R2IC1zS1jYv/Dz+VtKpS
U41vpopvEMEacgjMx6ENynyMm9QJxC0odwd7wZg2/nIuh+a2ZU7mVuVDg9heGUlYXY3MxrZ6aKoh
BWKsE1mYOGmX9VAgxVNtXpmxUI69FGX8azHKJcE+5ix7Qz1Db6pWNCmP5B2ptM7/qY2+10ZoM/57
bfQ/7aevSv+iOMJv/bs4Ir8RKDVeCJEL59C774sjzDdCRRJhoNlPbRX9DbAIwSltIE8jFC8om37U
RhiN5cYQ+4CXfqub4r9VG32Lk/6uI221ESIHBAXSVqVBqf2pNlJduIpwKcw1afwHAWbJM+G5Dcyt
sChX5g1r4gTLshsc6mWps3ZDn4oNghrsWCSk74DUL1jZEQK5IwEWvrKL3WQOhigxqwvGc6PIGP6W
jFWZN8DgjoxrL+nK5l5vUNYqFU1cZS+dHsBWK2sUERvE5diwyBDlqfNm8hzUZ3N/RUB9xWi5LuNp
lRe15w2JijxwCAWMU2/jxQxaIrohZFGJjWjV8qGUFP3SxpkROGg9DMmCDhyrlIvlKGhfkSd8RBbL
SRovPChga87GrxW9uVw3om0N+WewOHXSh+OSamBvUh9r98LdULjyk/bTgfGDUih0ZtiLSb+xczHW
8Uw2VmTearq8A2IHYbBL7KC/joDvYMjNCSP4QHoqjgaA3uLEXbLI3FkvRrB7NqAvIVg+tUF9bME6
ycD5aa7xGAP8CyaKVLV1r0WkNyhwzF1KcEn8GJQJ5+YYbxAhElZ33oYVMvCFFpyhkRQBiw09rNzS
3XkbjmjiCcZOpMe8K9SQNxu2WIgZvgqhFx6IxmWsggTkSlZTCaDVgBzd8MfeRySUGjTYEUNWDyJ7
n/MNmOQDwaIIhpI7qgYm0+17Up+MiB8Ctn5yN/SyXUQykCGvp5JlyitF0iGjlXSgNWcYToCB+pPv
4rOsIDqZ38ILKFxJbrpgkPe0AMpLtQEHAQ0s0F8qNQO2mJwb3OCfmKpUolEHnkrhPul+utSoNTMH
lUQGbOcVnO7rFC/LzgwW7KOhxQGxr88tHlGU2x74HHThIO/G+9Dj5txScprq+rlb2XntXfSXqtyr
2bno4fcmhgCdHXjhJkoUc6KNuRrqFY/P9FDy4nNfxvQgfQTtaqe9h8wN7dQbP/Z+fBT9wA80hOey
wIRRS9TuqJHHiIcfdEnKE8rtKBH1eo+/OV/0cKyQu1EqH3ik028Zqwlowc5l28WzgDNJVESZWwQf
jaqBba/jmBgj5cl4o4W1jA29XOD8NaZBsW6NeuKk4AdZlvqmjkIUXn6fWbm4Ozq2j9Rb64QPJWIt
Nco8T1W4QJ3Mi6YGh1qJCk/74B1NtZG1dVRm2huPZKXk2FO4WG7R7CO8F8BS/pJgWRwS2pob1D9r
onp5CIb+UDtRVqt1QARygHbSOC6etGBIEcGyyRKUcca4yYbARYgO/4FN9KbmLFFm+uDa+hzq8aT8
5YoF+n6KgV2vpt2XTiES2RZrIoV7NdkRcA3gbpDvN20w3go+P1JhL027PpkiiBOBEQBJq+pHxGRP
gSWHxZiHAQJ/0o+SJKj7/YTBShSmz2Oi1a5dgIh72l4W2r8VEmqlnV244t3JG0eZLGZ8C8LipeLu
NbLIV4hO3/R13Kd0Mp+LIoS7KtanpkRNHfSU5siJvZg2RmcDqjgZvO5BlcHZOp3KpwZ3DezlRTz6
Yx0eKgADIPs3hLRUSHluUOk/W/i3LTz8U3nj+wmj/7mFb7/1YwvHcRAMB39AcMd8OoajM3/XNzBR
BTlwzBxG1RxBlfxd3/Cj3yA24DCgbSAHzvDbpI8fe/jGg+L4c8zjiAPf3QInf0MaBY7/kzSKF95S
JngPGPlBGYEI+94R4EVPkPVS49UKSj+x1fgCVAiuvRjQZ00NwnTNx9AFYr+oAuMdAMuF7mxSLaeb
1qhjzFB5Gix36GB6ZEWqcznWlwArZ2Dz1T3GdHydyCRSR20RZ2duASx6wN36NikIQr+tAV1iycd5
jV6ggT6xni/IA7IAHg7qauasO1j3Tt7PZYmnBzkTDu++AmQQUvnSLerDhPgf2k/TpUUUPep+OEor
Pw7M+VhIFMNRfO371eUkyotBVS9G0TapWHyDdOyXhnGat/hg8A6qaO95IOlc9QzddMkDhGTxZxeR
9s18oGz+sHidzvkw74JgBTRW+zPidtADhEO/gjIKM9pEF2ZoHsDFiJTyMA8FvVMV+9obdlOFFtRi
DyyVbFx/Mc8Y9zA9ESG/FIN6Lnrv2ij5BQoUgy6jeT6iaT+YuL3hHTtUpUnAur003jDlXUO7bI5E
k8yd+jK77FI4wNhaBBOTzvPXbAlatqv6SafMjS9AsJz6oLiQHGBO1endouYd0fOJM3bgXni3rNNb
FdSvcasf/IrvC399avnaZiTGm8RFYkSHyTyDfvRIDSLJ9tFtNJnLktm3BhZfVjhkrwCsp6OuEUsk
3seAh3fBAKqSVuIh4N4bmo7puFTbr4fjuAv88alFe29U2SVRGO2QREcHNg71PoqaZxXUYud145VX
bhSCQJ8DBClMSOAk0Sp2JEZRiIE1+34o1YbjTAly7EsOQWVOPTC+Y7C1jivdIQRj9oXpzlUB9Wlt
BfiJuliScF7v4ibczzLcjX0AdnTFVBQkXjUcMetCoDOIYIy448J4dpApx028GFzD1usQ39TrveIa
ryrpjhfTDhMR7lfqn6pZ+EnsNTIxiOFkHDUruC3xZVD2CUHFIYmj7jNxwRNLVSB+hHpsJtUh6rWT
Kqc8EOnUmRMLmRKi9hE0I8Syx9QQhx2GcgbHM9FXRKQuqMV0ls6Ak0GIHHs/kCNvBDPGW/tB9eGp
8DSyAkh3J5E/fDYj61Ki3SgJ1m69aW3knQMpZGZDn/Fj44GnzoSYP4LW0lOuHVNWj/gaiuHaGzYs
K6pCfxcVLZEP6CVBxQZDBzePaUSYU5e28Y1TlFV0s/RVeeP3lj9DBMlNg1soCcqguOqgDQH7Gzeg
MSEhP5Qx4/dlT5yUs9Deoog+Fbyv/BwJLj9MYBuvmaWR6Y9jTArofZUd4MUQH4F1s/ipOze3gAts
vye17z2JGRzDZSO7EetMU7qZjeIvhI/AeUW06HbdBg+wNS+QLUMmp/Ji/kAw6ME8e4Cfiqz0V6/M
etJGxYsIqzK4JJ5uUdgjEdel/2yX37ZLAsf8v3e8GAAymk//uV1uv/Vju8SpaDELCYIJmLsEmQ4b
3zs7AE0mARyBVvObJ/jDDvDZb3AQ8SO0oyEGtm8jf39sl/Q3zO6JYEEiR7y1w+xvbZdbMPNnO4C4
OL8eruQ2Q5puP39n0du54AjXF8G1WLt4Oa6Rav3PU+kPxTWC237bQt53PJAumzIzlvdLwINEwHxC
6G4kiVtEFWjJXuQjG4LMhC05kFlAqbM+9PhJfXKXlaeQ2D6tPUix1segJRCp56blyM0X9U3dI63M
iyHvWhMkE0Vimi4rVEIGH0GMboGhImJKZqed8lIPDfDf4QyfnyVuXH2c3Oi28kFSN61Olc3ktO6r
fkCqi7SAr2t1u6LQVZE6Ij4GvLJRSGwMgEsZMtzQD9dPrNa3UdSTwwjtEhWud+ORobkcg1XtMCZB
Zl7RKEwo6d/8gn8a63EAARnnw/KKyGOYLXj4JsfnWQNA2HrBx05y9ELIYh4Cg7k02kcqU3RumfgK
MVXQ2Dp1J3v216rOPb2+jrTYjWo6u2zeuzGMyU7tjW9yjUEq0HMnaKdID4Buex0gZokZBT0jCbwZ
5EgQ8AgxXmXkBbzDeEgnCGJ0U8aapjtgZ8itqh8aSGfDIG87Tc4lJDXkspHuD9vbCZd03FQ3Yist
94Pj0h2NupMbtp+lKdEXx8UFVN0LzNqQaQBFOzoBVNG3roXi/1Lrhnu58RWXt846LN2+daGycSLI
E7xQppJoEl88LLO2xEZeeeMXZspd7DEOuhE/rsb5FVq/SWtjWdIifjAs5VUgC5ojd7vssBW+zQ6k
vZouzyj7HobV3rqT+4KJTCfkQJ6rqWZpFBo/j3nwtfLsaSZ8eWnKXiTwxTEDCUQunbCrhQRNVqhv
MYjgEGvqXGAy0MNS4WPBwIZiwul1YYGh0nJF0xJmYwnaORQRywdsWYc1fnNrFWCsxvA4DZipgEyI
lzWY8SE48/ehU2FkD4YfdW6YaUwfQ3VYfuGiX9NmXNYdnSHj1Avfe455rmZ1UHhsUkklWMsFnX5s
VvSyQFdczA+wc1Cgo3dulsJ50gM5RR2Y6NqrP4RFyTEhxYuhZaCTxMglTAQ4NLGIoREAD0V2LgGr
gvkUFCR1JN5MiUBDG3yaDCT+Bl2sWOor9PbnzochjjDsWWLYTOL5/pTWaAF1WZXY06Z531sMEgDE
6iYew9R7wMormPu2CY/E8Gdf+N396kRg+EqKMUte+CF2ynsLYYqw+akvg+rYley4WgQiOO3OhTJP
EdwEjCe7dxDrKH167TBzW5LotQvWq7bd+Hzcm2u0rFnnyjHDrKa7aYIaj/EWfKz2ui5ZLiyTCZ6e
6MVM5lh69XhXUBCgQHh3cLzOEUrDf8Tcfw0LQGP0Z1ubHL5Nxcbpkr/Y4PC77za40MdRQnCaXcw0
p+/6we1MsQCd3b/E2c3U/oHKUBw6uDFtoYcjgsFRvtvgYhwNDGcDfMt3vffvbXCbf//TBsc2VRd/
E5QrcB68v/cbHGvjlUlIRtfNVGFWVqp7RU4NQicnCWsZ2aao/bDUHPKndS6oRPi2DlvsNzU4a+lg
hxvqB8uHs6D2fiL2Yikgf3ZlxBKM0cA8lGo9sWp4nNvlKm79Y1hFyOoWKumpQajV4vEdo9S2/bFa
ETZuUTViy2UItzO7xzyBN5/yIZ2/ERuVWFLM3PByvTHtKw12Y11TrLxb42jK5yWCMmKaYMnh+aCb
0d1DEEHbCkbHQ7Cep363knSZhyTg/YSWtvjYMBfhuAharQEXWc2fo1EkddG36HrjL9BjqnSKqqeo
tyaJ4ujoW4r1A5YkBjc9RTzY07hbt0zersSalPimPaDvCREJoAdjQRktwYT2dbKf0XV+bgd7TRTi
foj8P4Nyr9I2EHsh7BFGKJIYdtYYywgTifLuKycBLDZXPnUqRHZ889/QLr1GhbdeGbF8qrqwOKNw
wOS40GsTWIy5I6l758GHzwLMHUurbUKNwuaxn2dxdsN+QjYYQxrgZelhh/l36RrE1cbdq12z+CRt
MIYspyUiypytKhk9aS6Rp7SZwKKNtFPVZUUDnHMAogEBU5SwwDEbbSFVkUtiqjPi8c0evfNw74XT
+ghpvkTaFPOEBDqDSwiX8W6dhXhWGiIajMPoCenL9s5ot78pEV04Ulfbi54hYDotjTph3o+GpxsE
9UUxy24bd2UR7FrBg68tKT5bhDMp5rM4/VF65FYo5uZlOXcfyIIvfl9QL3pxasbfAopYfbtRSfOw
jLkAqLS08ALQT43JtFFMRmOQFLCmASusBebUA3cywJ7Ixj85/XilNyKq2NiomCCcM268VLyRUwEQ
qmBjqfqWIAq40VXArDAnjSPEBK1CbgxWtNFYayDcTG2EVryxWuobtgXVBMmYjeMC0aU2tgtW//TI
MG3tGKHCTsqNAXMoaDDEGN7sxoe1XY1eCcTYP33K9z4FTtV/X8yz1+b/XOGWf/3FSo5f/PdK7v+G
hx4zXGCxfeMe37UqOMwANw+6GGTA0ZpgEf1BLnk4loSgjfk2N5t4Pnqff7UqOKDIp3DTsJJHPnaB
vwc9Yov5wzoeUADEGxdPoSwGoO//uI4PxVibZpXejYRRTUR1EXMEv6Ylf/fN3Hw3+94Hyr1vHc/v
JiA+CWb5b1uW6zOMScUoxT++EAYoCnAbYr4JQ5RjA+Z1BXm4jqe2wkAj5XGB4XEx3OhBXbNlvOhF
9yH2NMaLwURJZ4whzIV2xXnSIcvwDGGW6DIgHxR2oA5m/TSbrktbWqJi34Cj0jT3HV4w9brmBmQ+
6psYOXLae4jkYewWckrtBrPQc9/alAG1SiUmXGUsjADpCLkrommHwcNDNq5Y642wqCeDjw6NEc4a
WYKP+YScnEox2uUeoyXunNZeOQ5CRxVB8GeGgY/xu0cM5Lqai5ZjDXE/oGZroOpNU+ZtFeE4DbeY
67Wbg/Ejo/rV4/ELb5dnvQ1YEWOMdmOpbkJdnJE+q3ZxHB4iVui9KTWukNYfVMQPFQ142pTlGYDb
Z8ThxW5qSYdlYwGxomyXOeNGzWDExc4d1he3bbfVu74OKBbmpcHEvs7P+ki8jLH7QRt+qWw7Jspd
7uJ+3KOaOGCmigM0C8MW58BHwhDzUtPSC++dpWvSduhpGrMXNmC2iW+zsccuZcZAJLghEJf0Y1w/
BETj8Y0uwGBJFF4604h6V4IM69E1uvFy5c2Y+LagTZ1Lt9oJt7nBgLV65/vzfm2DS2S6OALuwZ5B
IgbjI1AgR+GEAD97QQlygIFxp+S6ZP5qHpE4XVOOYVuJPzT3Zh6PbiimTPvkC8Eg6oTPy2NTVeHe
+uu1Z+GAmbKeMBdMf3Ub76uHfG4qrHtQDTvCInfRGs57IHS3LSanWkx1voj9VaZRI7+sdfdUxtC1
2kg9oCmrs6CPxWEeEUWNIS/6xQ6EDMZ+4RaDKxfMJWaOlf0niTiv3q3UQSA4jKxOXGKRh04WT2PQ
XDAj6wU5bOfSecNhtD01TQhLaHFTUmCiSOB/nQk7Iue7m1al4WRB1nwUob9BO7NL1iSstl7LuhXC
6d7RR6jLBf82bONzaP8J0sKdK5xXynCZerQLCncjMK0J9ZgZYAHOmZqFe3TaEMDZPF1QjU4dKSP8
XeiNk5mqDSien6M6Nrnl3SWvSIGghoWcsc3ZQ7ysFtk0mMM8D08YI4vhJ6xOp5pgHKG6FBEeWV+K
GzQ458ZxjmsDvq7kZZmvdgEJichfNGM4bD3XPiaruXcYfLm3angVEB1SOwJairqnWefw6Y9loP8v
e+e1HLmxdelXmReAAgkk3G0VypIsFr25QZBsEt57PP18YJ+WSHarFZr4L2ZiTsiEFBKJMkDmzr3X
+hYERGULhuFpiNTHyaAVbyVQ78bkMZFXXV8jH2v3Re4vEkYCEcgGbQ3KhtkBVAVwt70ut52mrytB
izicim6jW1GzVgUCRr+Tj5kUUCjznu51VS1kX2xakZ3THH+ocrrY4ShvwXfbZ4UCaPV6Lo98W1be
NtdSvDL/sIx+HsPMqyjbheRUPhM+VEGb6lPZXde1LnEujsd+XFoLufH2w1V+toswjT9ld8Uq3jEX
X3gnHIxbN9rou99ff1ZqfF7Eubxjse+gJp0z8D5fvvJao1PMdjp21lPh7Ry1WTjDo5Kni39/HQgf
yHoxoUg6dZ+v4zTsWSG8w6MIT2GNL5LklfYzGvF/uM7n3e/7x8nnyR6ITc9idv/5OiXsJqMVgXo0
jZPKxOcEzUfe/f69yF99Zx/fzJeLtIGq1lo8f2jr+pbh/6rbqt9sd1ZXnKXcY4vLaoUEdq1tbw62
mywO3Vm4vq1X3uoi2veLLcX9aePyP7r5mr9Wt79/fdpn18P3D2G2O5CShkMO3P/nDyGB2UyHSRVH
dMIH70JdqWfizt8zIQF34I6L/YPYDMtDue63hrFMT+i5XSCgXPeL5L8N7/90BfjM/76QXCX/y80r
ZF6/KCT5wR+FJHNgnC4IqXTJzvm5JSD+AFmtYjTVCN+g0PyzkKTnTQ0pqTwxV1JGzp3yv3rerCdM
cw2EOzho/h1CELUZ98lfiwMyL3LtcYISmIhuhg7Fl/uo9L3BUESHzEvmt/2s8+gQfCiUvgsrqqsj
RHHUIGyW94YsmqVjYBBvLAXSR4oEvVa6bD/5SNcJUKjY6uQdrDCLKZzN8R0f3HqSqL3Tmf1LUYT1
Ubb5qvScblnO+pUIIQvMZNoEgx3QHrBuHMQu7CrZ2pwQMFkIYXgW/G2FNKYJhzuvp9PWRcVVlQcI
jJTQ2QrVf8E5fD3o6glS5kOuBpzYZu2NWkViPRoCqDjCnARyxDgrdXIkO2DmHrxG2zdmUcNkbq9U
4Atrv4R33fboPNB3P5u0HrbNrAaq4D+vnXx4NXPzlQl+5KJwbt0aEZEz6PeYE7M9tJQcu4r9pHXB
RTArj3iZL06WnscGYli9s5ZKgGP2dqD7uWLp2cTCyzdGYT4hWF37OcJODyTaZKSvZiJWAz0MkSfF
RirBN6vqLxkK+1v6CPAjOgMAcz9NbhQq5qpVhnMrgDwU+tpt6Nlnne4hrdMEw1Nh53i0e2TmWbxJ
un6nm80jxGE85npTb1oaM9Mk+xNbHW/tBD31cag5DBe46ZHjsiU6p4FSvE1tYCBG6aJVHbUguoeZ
WTolwyYNATmWIZ7GohyDCz3WbpCmogqCI77V7GAx+bH+MKnW7Hh1nPa6NRP/QAu+2E9qWsGPVeJt
YeSrPlIvBQA7igwbSSAkw0Wshrcz4RCVdWsvdAWqmu6DeCnMYnCNHBSVouRHP/K8hVnTUDbVa1jz
aBMjtHQtB6PE3Ms24yOmQeRFw11hhN8sPT31lAg5kACh01dNurCU9kmmNRw7qT9A+XikvDYWwrc2
oyNz+lvRVlPhI1p57Q7ttFY0mEDz+BnchjtEFnq++NT0LDIKSAshG+EqnbI3daaJdK1tMgEfESzH
YLQ7JXoRpnJvaAing+EyCZrTsVOuwWY+NmyXHBIcJEbKSTlUB1X3boYsOhn7lG/L0279lBZ+UHnX
sPFPmohPqNB8udYL6tYYk3SmyQfP6m9MVYAXYjqNvIuS2grV51o6l30VHXwUApo3KyGt7rwX8lIf
eS+pF15UtdjhAlwiWNn7aBBbsz8pFOPZH5vb+bjiZwZmDOM8CKetXkE6UhGNxfV4b7S2vQEXli7i
kKEMy1yx8EuFLt2sGPfguy+7sLqv6nSvO91ZrGu7QJ1u2wx3QwddbFnq/a6ojDm1YfZ5KMklZohn
YgBQTsdJtZhMezMDg1fIm+0Veop6Re8yXTPw3U4S3EQEjQwKd7EcalRqGm6PecVllRL5KpbdMW85
gWh49tYtpBdfRZ8nmIGofASsSRf6aJ5FrfNimAymCsu80Ux5pssyWuot4v1uLOhrzUtcFUxu56tX
mpPBOghgXBZ1ihQg3yPpSbYpYEiRNIA+ceHCDBnu2sm/Eqp8tlLGUL5mn2Ee9Da+ryhrzu+XwsI/
U/qxgJ9tPWugRlYiS+yFNIvVqINRT0NNzgOfdYxAvGom7yoqQR6ElbjOwi5btEz9XopAOZiAoFeY
3i77MLzrg+68AlQBaeZtogReNbBPcV6oOGHKggCY2lAYGNZTepdiMfLPJg1ZTmN2+YoG9olhV9fO
LDurZgEaERqP+RQ6q0J2OhbJ6d7rEKBZXQ0MTimXU1sdZZgcApRtOgq3AaWbmCVvelbtk0lbxb4E
m9MYFyjczloHRr45C+YilHM2CjpVoUVZzaI6o/cQg0zttY7eLvToS6O/i2YhXmzas+tgundmjV45
3qYGZJ4+OnI/8CGg5ktR9U0Grcxm9vB0agbLAunf4IDAQAsozHpPpMOJVIebTKPfjGbQRDtYODKj
/cpTPcsKrcTkWDZLDR2TTl44yw8zFYkia6zbh8U2Q6FYzVJFC82iH5mgO2YZIwIq8Jrv0sYi2k2z
2FGJwa+/yx9nISQ+L22HOyN0nVkmmc+CyVhFwYGrUSz8gTbBLKt8L0b+f3c0I5mjQvn7qmyNpSP7
VUnGT/1Zktl/gPYwSH+3kA6oMyXxTxkCVGcGb1RdJvK89witH1Ma6w/+HaWBeG/fvVdrP0oyA68z
Sm/LsDQaZpik/40MwfpZhuAw7nEQ/1tASDA6fjkuximeraHxrANj2L3flF121vTaaC6jtCsKIhPC
dtrYPUQ9kHP+cAuVBptu7mSYfpooeBj0+orMh9ENanhQfdNu6G+7nMPpTKiZRlM6MRe5Ez1jAYXS
mBnhalRqQO/g2PFlNvRJlAcCBi5xId71bS7iiwYb4BUOsa2DwCezPMwoPMm+GiqH2MtsOHxdieNN
8R/GogmO3rtcKEhG62hkNs0WyaheX5jv4iLjXWhkEjyy9lin+lX9LkUq32VJLRsxoS6IleJ32VId
5+jjomhkC67OSKjY961xafhyxEaT3apTcv2uBkNp9qLNUGkzaBm9YOyumoj1TH8OZlJ/pciD2Wpw
oodbOI/GUqcgVDrFVVKWAH9mKcuiEK4NzAj6jCVXQgZ3oHtt+kQxdFvjKrb78ygiO2tUwm+aY12n
rXxVZRSu6pQPxbCbC0uP2ftgGW97fv9C84v4cdR99sk+3KoTPZpybrWliX1dJkJb54i0mBg0ymKI
tG3QEN/RdZWb9uFOD3Qcz2kA07iyJvTkcbYCgkigiDru9UK78LQ2XSIcZ+QgtW0e02hC3tUvnXHQ
dmMnaBK26jc1d1y7rcGMeIYHp7jepJnz5Af5ielYJ7WOACO0MZTpk3NlefiqHIIRBk/5ZjhoM9Vh
V3jFwa+w3mEpdYtqMrdpNg9QvOKtyenMmGjiFq2SvvToBZnjZPfc0g2T8s7amnPpz+11IQWEq8bO
D40RKdSN3pHImAvof3QmA3HpFQCrWnbUhTpUxhKTKORHNt3AyO/bSAMu4Tf7hm+wqds1lvJwMxhy
Yh8p89WUyV3ajedDadyJujk4TXgdNcRVhWp9m/rB5Zwg4RZquxG+qexYtPVFF1SXo+Vd44m7mMqW
R0Qw7MLujs41DGE1Vd6x9abtmHgKQ0DlpSqVwFVlEW9Gg01qEk6y7FsGfr5RMxRUpUtgxrTPASFG
ZJ6sc9uYyaiZvky7pMHD2Z+C+v6GNX8fIn1D8xOemVHBrFC1TjCzi43qEIIwogISPACuFNFTpRb9
enSac6eS950SwJfkzlpEY2rCQdTf0hGGZFzkl+1ULJvWQv2C2d6y5myhLMdlGHc3Wj9lW0Vyd3pz
SVcn4WsyahObo3Vv9MaVRg9z1+UxXedK23FM1F3dtk+DDk+tiRB9qaZSrvsyOg990zWV+DJNuoMf
cG/3gYWXJ4pXYeocIUqVazPhPNEXPZ1paHeLMjOve8HkVa3UN0+Tj2j7XlTd2JW9zj7vo/f0FO1V
1sptHSE+TdP0Nu0bbaU57dU4NmITmulDPsoTAGUjXC7UIWAULDmYF3pkFxYyJHUECls+6z3sA82A
7zZbZVqjPDOVoVlNMaerbnqudO2hhCuzdVREJgXy4AktpWs3AczvCk8scLZsAbThBbV9vVOt5irI
GkxzhZpsCUcbF60FjQq382NhyqsmJdClJ8ZhTSRZ7xLVErlRUWSYL9RD1yLRp6v72k2j42YGlWWk
dW7n5dY2jjNn2Slw+py2ROOjcmLD+vpCaz1dilrqWxVQ3iEcDGh7dTkw8kC0qGvlZZ9RwIw28HlB
mEgcZgPfU4i/RB/d0IhGd4yC4iy1+t2Yeo9pNqAtA1K5QoUHuUznbi2q6MW0Mk5hM3XOyLy1L/Vx
a2ZVucsLuY4h1bsB2KC1DdxlwXo4bbKofKxsEJKVgm3R2+SU7BeBQlyTge4ZT0OvLhghOOtBydA3
4RW7MDOtWFul2JEFdMo8Hbx+Gtkbzsl4oLDhL71uHPdB236Lsf6sg6LR91qhzzw1OObx4GfbIMum
m6lP+W76UVkbBAksFIr7hU/kzsJouh0ZMnTfhY2gyCDGJHH2njOdKCGaZltwvvFAHJP94eKTv7IV
yzydak56QQu2n/r/WLTBdaYxeIgJF1pjLwoXbaBUy0hvXswStUMKBmUz2AywRoEcAcvLsBBJcGxC
5m3epLpxHnabophOEAaeYppyETcdO0bkKz0qVTRyHLdDqzo4RvRik7SQ1B4NCcT0C5OQSxxnBg4V
e1wxNKbtPJXMl9T+VrTxUx4rx6QKr8DK5UtCBU24Z8h6K1m8Juiu/FSV60aXqAZDya/EdO32ifpQ
kH2FEDk8eA44ZlzgnduXMJlzLz7JbFSI0RD5t2WQYHTyHkwOUwuNR5dorTdc6g+Gjg46aA7F+zSk
SV88Q3NWpDrFZDElt20O/jEPmXVoinIxqYXqKkl4JpAkYIyKTxLkFEvJnmooHQuYEK+DXWNK9U5t
b0w3ajjukcs5bhkrC2g+d0jZD0Omka0wpimOLADLXrUva3FiJOk3pbDf+oHjo0kHhaS4rVdHrwz/
1nWbN5uaFKq64L/2uXIL0piIupM04qzSWkDx4yenjZ4DAsiKDrVKVFk7OAPzXWP7y9qs9lMN95UM
LMz9nNQjWj/DxP0coqdea5p81VWMPYxBr8LI539mAe9SDLRVIhZSzenH8NhtqNweqcB24QAmhkqH
mZW5n4w8XbZFeG6W9sJz+juh88uLIUfhAjuPrtVGT5sX6eN+szykdgDqVfT/cxEjdDY8J/M3QAsR
kdj6gcnSTdXj1ChqNQQRVh6L0DmFFsMU1SwvWwUNoRUZgqlgusGszLl0xkGKPiVRtbAX6Cz8NYQF
ej8TAz6yPa7SruSt2RnCUerOhZ2EKEj0uXqodpYe7PsxeguEEa793j4fRbTJp03tYFO0N9WYuWI4
tZX4Okg6Rr6SPEDG4Jso6rAmQnOFPPOs2/3a7P1n2wQ+rEE5Uzw14Msqn3DPzSFVPXFKhdpVJzw+
4Ftpq3F+uxWFRaYBKpi6Wtlb3U+2GliHroldz9aLi8ysUjxsWWiSKiANodwFXZ6rS0yLdbVn5ten
9L36zu7Ac3fKeDHy7WSqESqu9Jge+ZPVhyShxfscA+FiiAmM48y5mRyIv1WurBUrQr4bK/06lAjf
07h1vS6/xzg9rTK7Kzn/+4K8p4jsy+yqlyaqVB1jfVTdyRDET0rhpXjQqzHh7AJLPoH4OQ4z3zqY
SddBCPOauqtexjEcbKOHiK3QGGE7gaETq2xsNVsa39/83VGbtw6yUSc4LSshFwm47aGxDh34bQcM
96zrWmSAuYUzurUjTyEUUd3kxTN7CzAPYN4xUO96pns3rfo6zbzvaSZ/j529lV17JMgFXtEcTslR
YkFd07uml32r+nSrzyRxmBbTugQuLkvSI+OOYB+o48DW+y3r7qkDkNyC1rxEYFlv244neqaW1+/8
8plkXoM0r2a2OUiNTTHTzh0RP8YlWOLgPC7QWxnjoh/QhlWY3Ry7OygIb2hRNuepEX0DS8LIRJBc
A2c999WD4YzrBP661M5NWnUkarnVzGbvgLSTSLhrgLY3VnMD5poxITh3cqEwB1wxFV1S9x5GoO9h
AXtopsDr4OCnmQsfAYjnBd4E89HeohZcBTNFnlXhUc5c+XQCJ52Dmh9m5nz9Tp9Pp7O+g0dfAqYv
OpW5ZXzR99lTPJPru7rhTnAeEpD2IZTrdGbc//dA/12vw/n27w/0m+Q1y34xYuGHfpznNfGHbSBm
/E4Tez+Z/3me1/7Aeif5E8GMxgzm44iFghZh8I8Zy19aHaYvuq1BJuNvTBgZ2v6b8zyuva8jFnh5
zGr4nbYt5fzrPo1/CXOztKG1nXMtrcBTGGIqUDvOUnFdyQJtZQSEhT3Ss6wuUEsiLE9njfmE2NyM
nNMqc2K2i/g5ptE4Uix0WuOvRynpLBU6DGhk9RO2OL1ctZ1zwTH1bY4bWyLtZjvUNgq0Cb8OOatg
poFCYUOjGAplq4TJs1GBP7Gi/NSP+ot4BliYTeVy3ttaqkZkAP4mHdYFEBRyHKFfoEk6aFRAoYYK
E+464Hh13I4C2WOmiOcoBfqDJXlX2dZ9AV1jqvoX1sMzhP6JMXNczAcHF3kzQzlo+r9Wow2SN2Kr
RsTJagjCY6I5iiQAenQntiWUj27GffQz+CPWlQpnBDAQVbd5tyhS3Tqf7ugYnBHjTDDtDBKpZqSI
hkEskAB79NZfVzN2RFS+tYogkeCBOmFG1bmlBFICbe0hhVqCuJSqPz8nTA99UuoZ63RGnIB02vUz
9MQJIWgI1BWu2ssOJAlwlGKWaXL2TZewrJBPjBepEe9qUqUWyLG/jWlnL9QZt0IwLMMVFAm6Pz5h
FcEQLsRboyl7AasFkeJpNMNbvBnj0r0DXWa0Sz5DXsYZ9zLAfZngv6RK1t/zfZ40xuOUkpcX1iB5
E7gh0R6b91U/g2RAl0e1iwihDE7BTbZsY2Hs+wti9vKADJsmdsrD4BvWLqltyYrfBZvQtpGk4EJx
zjTU63srzokIYe3b8bkU6koCGd7AY3SuPBAqzjIZxcAIJKcd0BEssKF9LxMMdYO/EWMeMLfLKu3U
SpL2zs5News4Qb3/73L4vhzqv5UvXj1l/2tdPWUvYf3yizbn/MN/LovaHzMUETqjQYT2bI76q82p
Izm3SLRgUTI/T55xNNO8QvL310/9aHNaf5gkNOPBQg0Iyxtgyb8wJ/+0KHJ5CeGEP/il8xj706Jo
JDR6I6+azqfmrrS9RYvj/8M+8Qv14vwb/ppsMxXmt4JZmKmQuMRUOb+CD26uqfCYE+IXAe4GJEQl
2xXPpPGt67a/v87nd/LzdeYJ+4fr5Iooygph17lRdCwzZNB9+/0FtM8z+p+vMGtBPlzBF+SstRhQ
kL6RQipvLOctR5ntKBSFhItq6rLuHop224bHBr+zCF8jSJX+UcsvwGL4fbFoyhOTmTFYK7DDF210
1aeBOzjpP3wUYt7KfveZ03X/+Er1EJ5kX82fhb7yaCSUxV3LADAX8rwnKsEDwxCObxb9pZJ/5Kjw
XYvyt0znd+3P1xfA2d+gfY9kHiHS5xeQ2b5oOtUaz5lVh2Ip2HhOY2i5zXIsCMaYRaOwJ2FX7isU
SkbbX4qE43pP9NiyUyFVVnMbDXOySgaBr+57p2mrTZLea6m+Z0JF0aopkbgZYI9s9NiJOO3ZzYLI
31VlEszW4gPvyNFtRrR04KKmcywFqxSfYF4qDFUJQh2cY6odYb+tvRbcBJSW+rr27TOkj2xeHAUg
1Wkcfkl4XloTbUEOKLFxnRdl6ZrQ6aaSxiGnjpa8EEslI7XYjuV9HZHVomCL7rMT0ciLKDqLhnTT
oU24SY2EUgHVXI5vTJqujIxFNGPwjNCXrgxL21VtKHR5nDw0CiqhdKoWjuHhOfT/Ey72t9+Q/llY
9c4V+vjgyy+PSx867FJDPZ2rG33r7abT5k7fkMxxXi/EabMtl5wDXWc5rvXlvtoz5nWHB2UXr5uN
ujHRWEXfc1L/9gXND8/XO+bjMvGFMizZpPDGc8vm8Q4cYUZLr16U61L9h+VovvV/d50vCx6zCSST
AddRAI9cD99Kf4n3G+uc6f3DQyA+f8Tf14uPD8EX1bbD66p0J9TOA30ZHUmJgfRSEeVQr/AI+uf0
7X6/QP1qBcTuBOTTdvDNOl++0tRMB6IMde2cAoyOwzPEnd9f4FcL4McLfPnsOP6Tce5rUBQ6tzVi
DLDLeoj/4V3800W+rLLO4JgTkZPaudOdTCXKoGsMJb9/H7/akj6+jy/L48heXVWpoZ1rPNsDFijV
vHSig4Ng6f1C/9PT378N/50v9H9nru98s//9aRFjMiTKb83PB8b55/6sjPQ/5gHv7Bw3Z2qL9qEy
krjNDWEw+sTIB5v2zwMjDo4ZyIYRXUfairWU++eHuQOSmyo0Sdn0Y2z8Lyqjz/chQjxbe3+OBBhu
wHBf1cJNC03Qyo3+2Kp7H0/eeJnXmw8fyvH7qvPR2PHdIfJpNUJ3yGCKTEJDM1HSfln1BLKLKIrr
4qj3bInwR4wa5XSga5l+DFToWLPOf4gvpjw07QO5VtY9BygtvrBVY1wGajpoGLYKHsN8VwZEYnvJ
ytTD1RQK5iWTvhzH5OgZipvkym6sHTCJ+VWjIiIfA7GaSutyCOstHGnMbOmwBp4hXEOWe6KzzxU7
fk7G+EkBZNoWxQ6g4z3bOd3OMCBrr17ZWkIiSg17fqjeqtYi4jzs3YQD3SYsCbdX0HAviFzflh0t
uNaKbsBtlXq95O3d+6a6I+ocl50o9uWQvSa1E6BTkmjW0levADVnpwX4OHUAv1pXa1zRp15j9a6d
zVqVXuPsaqnPQ53tdamkzP6y6074QDm0m2rg8KOFzV2cjjW4+v6lNuV+lFW2LqPiLAuG3nVKS8d+
6BlLL6+uqhCkqSUBrPmjfpb6qCibWr9IepzhU9feK5GOjY4MeNobYE+15g1uFMOpUMsXVpnjAJIn
Vl9JBDpESSVxGW1Nla2d0YpP/k6brcJCQ/DU2TEj7ulOkD+n83Uu8la5NHo2o1SDapM6pK3a8QOB
WGR29cXOwet5SJpeLFHo7WH/QMkTpVwI2z/1mxc9ytcOZs4w7bWlHEoa2El2501Agr3SZh7nE3Zk
t5XbdNZmsoyXIkSX1Y/EQ1nyxa4pP+0ofIMtwghEEjdYNs418ss3GfZLtQxfw5IZqqijbaBBmBNY
MXM/PXZa/SyiSF1Wkqk5lp9dEsYMTLtmHdqzdlNHyS/rpl9JgtaWRtYe0RzddH4LUTVpMFsH1Tza
v/KHpnRzIs6WmYeyTAK+7GgQTPPh1bGjKw0bOGotOsZOdxerNDTD0XyLIufREPGcHov3QB9iYl+9
ID7LSCFc+lFYLFlXbvyxvMqkUQCa08/9xLLcIA96blaCCcmjQoxaEvvb83lY1vQQmx4+FNobXZS9
SljO665Sb2I/oY1LIO2gzIx3v2G8p7w1iv0AkBe5URwsLV0g2hjewScWrApt1ehjvCveHQy9rEpv
W/BpOFihymvD7yciy2LucieJb2KSFXbGNERHU++vy1LjiF68pmhvw7hIyHQuvommZGrPDA/1FsPG
uIc0UYXRnZQNNFSP2EjzNnNWw2YMyIJMc9r5inJZtZEzN2KSEuBPCrahI0xasQjOqihLlnViGBSw
4Eb1AneIfiahZNCqUmhT1UtSuNQ5uvhQ59Z9YBuvoTqUC5a1EtGAWKdJAdB6PKHb96SQidU3IbnQ
7YPfSqiwk35ZZWIFRvIyF/quF8olbFrXVPxbLTYfattA+KKeOL1/xFJwHNPgbKqb9cT8H5raN3rZ
CS37yI3rJl6BXF3G8CmtugJExxC0KrqDNUftlZCZdJS3iEigYDlMMSJbYZStnI9NdZuGTrzytPq1
hpGnlcOdUr8aLXdiZ1prXcJ6XnpwBpDCej09vqgdwV+p3WjdWn43bMqy0paRT6i1YRdNcYh1/T7N
JYHJE6C5LvOx7UasW4RRygJaEbDvTTPm1dJOaFvZenobl/UaIOZ93ye35Bw8oLHVL9TWmI5seOW6
SsqnUhO7oNK/DZ59Xk6Q8iBlzbRfFNqMRF3QUvZSiZJwnRLWdC1Tezzz0+Aq9P1nxBjKside9aSi
j04vrsG4kjGGl03wkGl8i31wHYZ55Dq6sm+7+h7k1sQUVk/X3mxGKnh9UITZe5ZOzBrQKonp1m1B
iFZjK9cErTHMHp1+5VcA+njK6zvPqVuARFa65Wm23TJpXGlyiO9E028Y3JFeluYjqCc1oBkGCsVv
EDQwoTS2PY7vLa2+Ixbsy1oGc+9+E3Vz/07xoEMisZlMcU0n8r4Sw5VvVOYOo+B97vRknvuTd/j9
tvvTUUNT8WeB4jNpBVuG+kXYZSZtgQWzbI+5DXRJnEf2tcmrNmimRv9kYPlcRVCmaDTCCZgS+FTJ
tbHmmv1Dz6Cu86HR+ro/2h5YpNtyXAfK7e/fzj9dYv7vHy4B6SZJ+jbpjwUPJphSghQfZXH1f3AR
hz48scrUWO+9kQ8XqQMc81HW90e9ui7z00EBnrj7/SV+/lr4qD5c4svpomHA7Qs59EdpX6Xlekrh
7/TnmfUUjf9wpZ/OgPOX8uFK8yv58GYSQHKpSWz7sRynhchQ8mj7NmWutOpS8GXTP5xofjpucDlC
qglbAVEIPOnLcaPxo2GqGtHTIL4XDapd89oPTsb0/v3z+58+bPy/Fp4zO/U+3Eg/hefs0uK1Cp+S
X5w1+LkfZw3BgWJ2/SEBfx9A8Rz+GE4Jky4snVkWgzm0+4ORXOeAohMkTvHPD36OwND+MOlv0Txl
sPXdmf4vzhqIVz+1JaCNEOMEeATllUYzGEP751vSCkhAHZRyPBt0BJBrEcPoOiss7Nhv6jRlBqUW
QF52dx2x2rTNTUByGeVyxApmyvjS0xgh2yjMt5XoLBB2pvbiw1FY5o73hPf7Kvbi9DjG+H/LydTW
uiFIB5VqfZab5ltQ2Oy4KUgLkZGegDIIflEdVqCGelqdqTBOJ8a4xOQlDeU+EqpxOZgISqPIrw4F
nWp2E+cUWV98gmo7c+uiH9e4zeeWZ4yDBV/1Ehs3QkVEtQfZjXv4b6d23ngnaUg2aKw4DJyZvdnU
1ib5DzCv14NjIbxq2IZLajzySS0SdQd2xNJusflK5SFh9S7MIdtbQXstzECl2EE+gEyhgHg3Kocq
Ml/6jI2+zC2xAerxNkXRI1oEHAOyE2RAegClChmNN0hwPDRzwZkPP2rXBtFr40/aA2Uv8kRofOvO
TErXqhOsDgxXIDQ5mXOCdUKszF5V9rIY1FMjzJpNiMV74VeteVpZ1oWd+NEVJ6FdH4zXSgHvNpeZ
3Kh2fmGZaKmwpUOEUukHAo7Nd1OMLESqPSO8MVZORdDijBmrwHjoCgLfPVWPTxpvFM2GbIaRMnmq
6HiSzYX0iNiQ8GwU1OwLxReQ/rDSqL2ztB0F6pLt0PqEfaMYu6IZtWtFa5NwR7rHtK+6zDkPsViU
i3yy0WvA9tW9cwfpBtKJ2HnrhBOfaqhYhZ9OV/BVyEL+7+r1fZD029XrMuxe0Zl+e/15+dK/LF+s
EJqcbwRqlg+rF+Mgy9RsqgsuhwD+z06JLgHbY0yl/DAd1jGDOufHDImFDeA90nuTEO13Y+O/WL3e
G4t/dTHmxYu11bRpOZomZC7zSxcj0GaYUatrZ1VeloV1qgCsmQ9wLC8pYHQ4o0xIND2Gk+cJcqt6
3FtiHIVF+mponNuJmpy3c2O+TwdlZxiZftaCW3V7rc5OUs9Jr7BH9eftIItTWhT5SwMidq+lfXzF
Sa06geXsZMtmsF49LZTbXMKvE1FlIMRldP0YMKRwSMNFRlUxhJFOsok10btTkhnPXWeKN0UPJyA+
Jp1gh/EzVhE6FxSRyGdMznZapC0MNUoJprfiY5q23rUWOcT44JIKrtQIzlG9SSxRTrupCPDxV+h3
EXyBzfA59MtW7QDPd2w9nKHJe8nHJ7pC3UVVwSkAa15p0vUmTp8H0yyiVWqEZXSjRFgQEfTHloXM
CigPLjl9TBdGN5aPMSv0TnaUSBOmd9dialcV495uCmKTMgOZdFc5xkmHrvLJi0JTIyUIvxXjRoJG
lLKDvjSGma6Tc1ZHuzEwLTjvk7ycRI1iXOsMmDlW9NJA+dwXJrDaMyOC+muXdthdTpGNn7MyELUt
A27M/ix1kjFTvnfH/lvPzI3Ov++d7rLxFxPl+Wf+rGWMP0xJy5T5jf3FOCMIpmAd0IDc/CeY6wcU
Ryfuz4ToSfoCnGwHBcxfq8GMu6YD+Z8AjH8ttPk89wC7A+5an18DJGyWHf1Lea0HCTHMndUc0tgM
1nmeEJeep3SXLkatm9Aqhk7A7b6SQacGeLC6uF8ZotEEnixtzEA+j6GenHCvleM5XlhiMBd22xsV
btDBLEmCMZJAh0xJv4e9UiYh2D7FizrNVTwnzx6nymzl0Wpbp8pci/wboO2G0dfDUihlVD/xuFTT
hNfOs2o0jEPVOUy98CNsorpwzgDmEhk+VPBw+17elDm0TBtDW9nmxIHJOKLZWPbdCdEA4xq3S3aw
kri9hJTYP6uZYRRYjgP/uZPVsE4Ivz6FMpXT3Mq9Q6QYcv2/2Tuv7bqRM0q/yrwAvJDD5QA4OTCJ
pKgbLFIikXOsevr5oLZstdxur57r9oVD0yQPyYOqP+z9beynCa4MDX6BOxviTnN0MibGer7kFTRo
Dbdd2OHsqGc8Oyg29e6VeJo+KAYEnUGCLPiQWNnwSZ9bBKBJZX11ZeHtpqSYmQmC9MEpuCsUk+Rn
qYLAX60vxaguJsJs5DPWMOCnsFVx7XBmb3MgRluz0dAh9j2WZAay0FblxA4wUvHDaQ0MH89L9C/G
ijVOpMwqYspG/S1nanQa2z4+CLQunw2rN0JaR+TZDaMM6ZbjzQiWmV9pdWg9W3vQ+lQtiJwG+AHV
24P6XCdXseKiY2GlV2vFSHvkQW0y6blX2TI7KNuKGYWApJqg2vmK7rM4Y1Hsn0Z46tvey8hmV1L9
QsJzgRcl6XPcGhGD1pWfzYhQgdFt9bdGajQhUsz6hJp7OvXguhFFS5guirttLbF8zGZS7N2mjI9L
nZq8tsxRLmlkq0CWelhFtcAaMgwUda1wq10TYxcx8X77i9XR00ndi45Fp9hPDDqf8b7rZ11xmxte
frRVckg8fa2jGu869UbIBC4NBM5DnCIErnFUM4BrxH2yot+nfm43Ih2XTTzJaNtj0I//rrV+Q0Vo
VB7//WQ9vXd/IGFcP+dfJyvFlGbD8bCRxWhrruG/ukRd/QekLwjIeAttw3Y4j39YEjk+PZc1kQYc
edXx/FRnmd+DBFC/AOb6Xmn9Fa2Os9ZRP9dZ1FcuCBkEkTZ0F0qEX5pErYlVLZHD1enJXsnxc+Mg
T/QidFrT2zmT+9pH8bxt1xA6GMeZqRzL3h2xwDipnr2kOlaZmySqx/aAZq0pGXxms7ppFGt0yG7p
uvm2mptrY+TpJ7TtWHQhdjuYhGVPG5NkX4zC4hCvwMY2asR5HTOhg/tarUe8bkoi3b6/W1uLfLyD
GSkldnHtOwC8THBik6+DFxmZvDHafdpv9WpJtWNZEr3zEEvaHfZGUcYAHcYTsTIxCkcqKDTSgx0S
7JPtlFy0m7mNtN2U29pmXlq5U3O7ewJ6OGr7nCx0uTH6UcRkunpy2RQjQn366EhBf2c2Cr6iRtqX
UfRJHTZ6bT+ktt2t2UfUXTYS0Z3WJPnwkBsFUASQ0sUNtVei71qH/y1iclnkbHrQNjGMZx1R27Vz
wERoqJu/26Hf2iGqgf/+iK66umP92o7pHzypayHx40nlcWQiw9xmbX0YzfChH/McdMiWa/N04BJ2
TIqRfz+pOI55EQiQwSNBefbosH50RJRHrvbPL/a9w/oLDRH25V+fVNR5cAFt1sjGipD59Ul12cwu
puhuhEJ/0fj6qKFnqmBqHOwxqW6Ii7nQTCRX2+p21ELWXStgTshYvTci8z7vxvdapRtfluSQTdMJ
mx9AmPGc63qgTPJYVBpgWC2U+orYNkGdNsYZRhtLkbG80kZuo9g59wkZvEK5s7Pk0RHVs7Xgo4ra
d9d0kb66PkX7IR/rMFEUsjgT3ABu8kQ0CXl36h0JWdcRW8PkqVfiAoBV2cvZduXO6rRgTuNHi0Un
9FPiv7r5Dd7sJfKQB3XGF9wju2kYjlVkY5NiRmK21yhJrl69bD1pBjGrpVFn81u3l27Rnx3T2iea
dvWE8BUyozItuyLng9qBWwmuYKJOLwh/b5NkvICgCwC9cvWOG6Owr50Ot8v76DtP35TZTHkEr4zq
4TVicJXa5jPmmIPSe+Fk9fdJLHdKRkZaQ6nQdA+iB94RLekNMtx9zmpZy+xHC56sFP196Q5vlQ6Y
0K2u9HTnyWb1sTIXO7Gn6CEkpfnAtHJF/baRkXcwYvPeSXDIuUqzH5yq8s2Cim50FF8T7Qmh3atR
m/dew7iZ5GYqMudmVIZzrJehjKdDBxmvd5T7zFsOmho9maV4ZCLGqUSSJ25b1gcsx5NIbQOnbC+p
W6xGn3a5K8QYhegDXp3J63ZNu+xcwFxBvDTPut4kPrboNyyQ0Ea6LlbbTc9ih4yG3u2yPX1zchjq
roNqKOWCGet7jhHZVenW07DsTEt/wPlJ9Eg7Fj4VzX1ODOkRP9AU9G2OlZ3D77JYEncldiW/WIj3
wkSlhzSN2b2u6fTaCBss4rQyKJGUoB7BSin8H9x/MoCrTZZEQzbZ4KoZIoHZ3OOWscLeFg+pKdpw
WGU5kUHolxyHJkB/B1A27h9dBqKb3EbplxX6XeqKJpTZxwyRnESbdboVfa1dAyu5eSPhvJhdfm37
fA7zmdV0Eb2n0ry42fCsMAjILt1I6Av/3zFoG3DEhk04aFnf6XX5NI8D5p4Ja0nEJR/IxMxxmppv
MThHX+3gyzd9C4XI9K5ph2HFWbJvnjIS02niKJ2mpA1z3X2PG4iLQn+kUnjn9ZMnVas9+gyjCI0G
uGJSUqJaFS66JkejOeGWaYouxOp2MyXl0S3nJ3MRH6OjHjPPPeI7SLF8jps0Tp5SCB94BNuriOZ2
i9sZ6eKo2Je6iB7AEeC/8vIV17IK5U3WbTOI45n5AugkrH41cCJ15SA7KxE5A40cKcUuW1nJnpxe
WMbTP4BRZvL8loBVXpj/+d1KWpaOjV8J9rJD8RyvNGa91bduQzxva+i7CGDzsJKbOaYATZHuiQAA
9WX6WcQGX1wxv6Yr99nmQvXG4U1BqNCvZOglUsMWVDSdyxQImjOpj2pgrjjplSttDh2BYl3zCdoS
zGlyDzfLyqFeouizsZKpoyZyeH8ZW8yOWJ+8mUd0JVnXNY9lR1vFy8O7rerLblrJ1yNoKMAgKCNW
KHYqbV7bdGygMi0lYTVCjohRWGYn6jUZpqdKVY/DStouFPhcqSLYe4PhzhP1YQbLbVXJJ004KlIC
O6w6CJmuiR/bBuaN71xjupQTImcS/VDiny6+B9YnCdzUbl5j7JUakMkEJ4f1Lyn35sBAfs29r1RX
2alSALusmhT/WVlvl1EnuU/cEVRBDpu2FHdpjdD371rkey2iUd//91rklFZx/59j2fWTflQhUOVQ
m1n0BZQO/9EvGBqzENa+aOvXfemPdsGm0uBfDjMXypSf6cTGOoihg3B0tlSrWeAvOZ4cCp1f2gWW
V8x4PWbGNsr7tUj5ac2pRQbRWo1jXROpGN0jIA8CQYJKlFqYkLoBOw6jTkrSb24APP+e8kPej6oY
hFGtCUDd9zSg4XsykHBtUoLKuiP5ypkMsoOsnuK+76MjKdtYZOuilvldDaqkAVkCw+nLMusD6hjj
KuyqDc2VbyIdrpi4Td5qBw+MvlJQuA8SX5BQtABIQQ+WB6WeM/oFnpJo0WdmB+BUSNnEKV58x6zk
RQ1xZWWvTFYHeSFM+Kp2UI9iqC6mIogBhhSWmmkEYquYN+oAuziqpuZNz+SXmGcSlnoZBVpTbfsF
mVNdZvs2U/YpIS3+0lVvqtFlzE8AouPrfUxj5at+aSpxqTn4F2pBNFaEj0VF9Elr3buyVjeemHaZ
vNMG+3Ge+mfbjTcmnn7vN4303xNRjcfjvz+I59f8/Q+eQz7nx3NIqoOBuJKZmYvJT103J//qBox/
0MfzQIHOXkGNfOjHg0g0IPpR1dEdPqh+f0Z/dAPuP2wGojTZjsaTw2Ljr/TtxsqJ/P2TuJ4BHv+c
voNdw6+oVPaadIhtZd3kUxGflLhso4dlyat2D4A/382maWDgBu/WIo+CnVUczA7dnTUq1j6PkAqW
QkefMKtsSbOCTNOFjHrfdNaQApzxLmUDYi9uqpxcVcXLyN+VrCGWQt3aJcA7tDhU3u67lU3ofgQY
oigyJYa5JD5VhJRkhJUo31NL1vySgSATfSLRpFizTfo15WTGiV4QeyLRi816fN+ueSjqmoxCwPsU
VISlDJIKvvfeoRIRf+TeyNY9IL95AGyzUwhbUdbUlSqqT20C23vNYyFe6HMxxIFLUEupW49x6i4+
y/GEGavRMC2MX5jWHQy32WRq9AJA43W132Cibkk3GMiEIUGNpBUSFxh5Ey7RYWJ3iJBp1yyZvNMx
GBbXFtM4Lv340hI70xE/M0AFHPhFQ82oA1nPsy+i5liumTVlTUQ9ITYquhBvTbXxZAXiUUe5ioMp
NBxxlETguF1yJ9ZMnGTIDuOaktOueTme4BhcE3SaNUsnI1SHCe1LzrSEOWQdWEYnt7GgNoqb5Gu/
ZvKINZ2n0sQOguaxoNrfkXN7rdYkn3nN9CEI/KmJEnNjdB/jmvpj5+T/sNhlWU4AHzOsD2XNCELC
fNOuqUFyzQ+aCBJy10QhhWghqJd3BWhsb+qITZjqIBtIIbLiKveXNZlIVPLoElXkML0l7xdnAlKx
F5M4I+hOXxZV3rUowlj4vswNwI+OACTo78B15hwaXZ9dS0fscwIvwGOsuUkEKC1rkpKiWeyOm3ib
EbIkEkgJbAq2DvFLghFXDRViZSCmdv9Gg6mfmc+zMSxX6+KATroI59XQyM8P6UisLsfISnE8TnRf
jj+4DsyjktMgJL8b9WMb8cn5+huXuCz9NAL5W1E3eQrYCz/KCdfiGkn2YlJvJA/DnXAzZ5crLgA7
htg+V9XRMDIjAAzhGy2fI9NGucnimKDBRa03Bu82H0+Skfu5JnBiGulyQApq+VZbp0fXXSTzN2ve
AOgY0FbDMFKnaTtD8XDV+AbwCko2XbsYY0ud5nl3mJHjsC+ya2tTy+naM2sO8dBpSv5SaaC79Ra4
ncGWXYu6ZuOSkOF3tpHDQojpK2BuLlVjMKonachFKr8rdSK1nAqAuTaP0xVgEHTxGnisIi65Dq3G
Q8Q6Im/wxwJ1p572b92o7DQYVv5kdIfKHgm9tdyj4hrWUYsLN6ybjKwl1NZfdOaLPgSxeUNKBvGG
60VZJQ4ck7JrtkpTgMAapPq11fTPWVlGW4+wMfIbZ3dXSRjteU4IZF3CEOyVTGV219a+pq9/38gu
fWlGp9ZLdsU8X1OeKNLFR1qc7o4oRgklwtpqcX3ShLFLSzLZag++QSY7Rv6eGyxrx224DAMGCV+H
8T/oNbEtq/IusVITAi5QI0BQJzcesd406i618he2o7tR6R9kPk3wseFoJiDRKy2/9GOHq3ssSXJx
mMw0zd4e+4/YiJLQ4vII2fjywCI+1S/uUn4q+6w4e8l0W/EbRdgBobGsaSZisKusaJ4pfUD/N6cx
ct+XWteQ9JbHIZ8Z7mvLDs/kw9+l+m+lOrqGP6sQ+v79DyaGeGP/VSNQq68RwDYGKZ1HbVXh/atG
IBVk/cc/nLj/nu3jNqGkWDGFKn4U9BU/TQy9fzBitPmKFAq/5Qf/hZEhOINfawQLS5IJm11XTVyy
3i8qQYZda7C0Pd8Ial9nk0xRRlvpQBiJRZqAPolOg8xjYyMYCOZP2qjhu2clkQ6HRqaqv0yEtp5/
G+5kiz5I0MRNVQPXrQzb+rqg5EKI1RAKR7BbxxHHhnO/2FrsfXhqqQ1Mw3psFkPqmFEYCSm9sGjq
2SYURFnH560d6xIGcz7D7JFYSREyjvGibUo97uTGdDSwAyssJhzGXNuNKoE/O+YhpvVYaCCXt2BW
D6wgOHAq2xz2jTKJ/WKIkaGN4S7bOGNbuYnjDFED2Gt1nwCiOiqRW7ylEAuIG0dL7otGTBulYDdL
sCD3c4KgTS0VZPush98mi7mKlCVybFUoCYczcVGWSD7sWSGxpHI/qHRMfyjjcuM0fIzcAYaYE95S
4inmUxLDInLXQzVOS52hBwwBlnq0BI6Tc0oPOVhAFFP4mBWVFggNnSZSde92JnUIcUmvGpGqpOfW
8bHplOLWFIxiSPbymMlV77kjrZ1RGPEGZoG56+sh3aj9GiQfO1ASrbG4zVUsEq0HTa+ZEG207bxx
FXDMsWu8J8BT9vQ8vC2mwoATYAJ7rGMypG3ljaFRvLdlMWK2ZT6adN2HM0cR8BdKJKek8AvnDsBs
MejOrq7LnoxyNQt1JckuvObSj0mkPK7DsXTMoGeR38F+dhZ3nheR4OvV5aZf6dP1XALY6pggz2ME
l0Z2vEzX+FxUuc6xl61TRlMlVgbmWU2WhD800HtGRN47eJftHa4MpG3xDKaRaZkvhdYyUxM4JliQ
Flupesumn2oweWQ8bRbNGcEoQamNlirfa0WHejzK/mmY/rux0v9023J9n16/vf5na7V+1r9aq9VU
hzdPJSsJZdeakv7TsYnCY11vrGQXjsLftVa6zRrFRtK69mOcqD9aK5j6KtB8VqboQ1b73l84NZln
/HpqOiRPwO5nNUp3x6v4/YwjGtMG3nEqbtLq1hAsQ/RIzP4yeI+L1DF2CgLHPL06o5C4Z7zLnqRQ
AkeRUBMTniEBvdB3Bo8hmneDfLsOFsV+41S5FKP3JGX7CNXwY4Re0ir2KlxxXoqmZMbf2zC2Z7aP
enmuwYwGE0Bm6PvGdVbbJKDGMn2igZ7s2JZbo6bM0aI20JlIgJeyPueF8xQL+cbxVgVR7u3xIj3m
6XDbeeY1dVlwqh4q+Jyc6XohWGIaAGehnAEQe9LcjMifatqWS83PDH3exW/ujofRTbbkDUYr3m1b
JcozILSAOBDf0r1r4caEAADhrBw4S1HVY/+biTlJ8Vi7VHvobH0Eat9qL73pc2h3cdqKB4mxLp2g
g2tNH8h2sdFFMLlV2Iz6MTHaG0+xXkqZ62hgI2ezoO84OmAJw3Zm1q+Qr8m5SvLuPIWF6Vmhh2nK
nT1J5To+2AJKo+ysJ3yObR7EaWc+eNwpwzqQranjF7vv5aM2z9C2JxciQGgxFuUuJBAUeJ0A/szt
FBeo5+qVcjAhKbapdXuxU4tlL+cJKn8PdIVCfreo5oSRn7Y4srRH04ESUTrme0OzXKi9509EPBEW
lwCx542TROPjUFVf0uK9i6xjS1yVb5n9gTic09I5GWDxipQaVdkkeYMuySGCQIU9lwvjRJjfszDh
BzXYHktLvLaa1T5C1L2PS/Ne00hybObDyPB5ybJon1qR4StptCfgtg7i1jgJLlCWGI1zEIpAW1K6
T8rUub7dKtvZ02H5TcDlWLS40XyQHk5stW6oy+Mq9CaFhWDb7FLWiz5ScSrTaGuM1naVyXA2j0+y
KJ4LS/+AFlf6UdZ+Rop8rqL8UTjJS1x2t9C2UsZx7j6v5Oe+q0q+fLJHa+4EBTjLahmO5ejwbs7k
Z+gKK8L/dRDpBo/rycvSEIzrC0DagRXQDAlNBSxWdCsguHtMekhrzWj2vLT8lIMHbSTr0cF5aT2a
CjTTF5r4e3YsO7j7z5pQlh25gkE5jl9gUN7rRb11SBAyQOAvDapOQGr6OXOhjLd2BZ1nuupGvM2r
bzmy83ECPtyvzMx0BpIJ+iesLXGb2lboqhBkvZlVz+D0nxG3L0Fk668lcCSMQPkQqFBONdKE/WkS
n2xJ77LUBNManfOpquKT26ov0k0uRJffGTiuNMjAvtd636Aq70uPxAXbaQ8gRXkDRp+KDC0CygYG
MKRUp5P2ibfxZ2fgaiZ8gtwz+673jG+eFGiflPm2jsD5lr2GizPW8S1GleUXduL57tBp+MOWAim/
d5/nnCvoOttDNCXqhkZ53la297ZEw2tetLeRRgZc5FhRCCQ0CkrRepsus04sNsxbabg7EHhJdRdN
bfbQVBrgVYM7PAf8WddnQ8ZvWqUdx2IUe0S4ymbIddYfceb3DXhiUbjV1suHd3i7cjM6Cera1bRI
rJmH7dXjN+A5uPYsPJmR2Z2lRlqCroHexfeWDPcdYW6EvRkHW5pXgqlOdclPmeZtCLoaDr1UzFDE
cZglJYH2jvm3BuqfGqg/vfLPdf9//m8Vvxfvf7Ta+One15BCMUvlatcZaas/09kRmZLM7lqm870g
WC/3HyNV8x+45lcpOBsC5g4/S8717yopOiluG4fYnL+ELWLW+7uBKrAkqggqizXKEbTz+vGfVhuZ
6zBhqGA28IBJyyGaZGe2zz+1kLe/6ap+dufj+fuD74IhBzQB0nvmHr8UF23EJNaSVnYd6iwtwtpV
YcJ40NKCyNDzTWb0BLwzziL3kWt8JKEkKGR0mpg43qtNclekRGZYSXqeVZVxqaZY5HKwRi+0VA3U
ODnMenkYp+SSTt6+GbWzKue7XuiXVtbcMsYNAq+jmuVYTKf1FlNbb+usHQVRYsJPde8bmXgzLuSS
Dw7ELAJR+UgRX8FOt2G7ETnGfjLi8xeHrAkB4N0+zoosd9G8OOGg9CzPPZ3F6ShpFPOhwmakm08R
wpqdU1jGF72EL69QGO1SNU/sTTK2TbGpRZs/1wQdQkkFhL6PPXjGB80AUskwyb3aCCuYboBk5gon
29YfjMZwn6Te2uAB9GLXKUhedlo9Y6gln4g+uw1GqxxExCLaUm7cVlcufP0mXG+5fHUZ10q1cxmw
hPbIGBI5Kvxux033RmHmxxG1p3vL9+uNL5aInf6ki3qq6ZyN+9rprOU20YDotbHwTl5nO0ec6PEL
5gjzeWLpDYZV4GoZqtE8uGh8SbnTrVnuXZpwO1Dn3qMMo8iykZBt4Lmbod4sFHkjoPc2jsVh0q3p
6o2jsxn4nXOZyv61Z7a+CPQAYnF1rob0oGAJ36BpYgVGBNA9WIFjpopi49Wad48Clqi8jALNFR6q
6YZg2yU3STXWkPelz25pTWf+dFNot6ncdAO7M3bl9P1ILo42yUAbhynhbhgKLai8yLz2yaSzK277
nW1M+9msuEgWvb+LmevRVJYXIsov8JKrbdmld2ZtkYg8ZmFkF/s6JVInNtTb3psfBoqbR2zR7gcs
BtYBeWjPi/1Rp2NolbCJolb7pCrjNrYHMnnqnJqw3OYuQ7qFYWVvN9/6fniv0u5dZOKJTVvYGdPR
W8otBwgeNLkzF4KK3Sk0vGGPivIssUnE3fSmWiNTe2VbzBotJ7aKUXyFpEer+jVSRy2c7cKgwCQ5
JLemF8tO3wppmxu7z/sjA1ucDrM86yUxjrF+sZsx5L5/afjz9QOqi8p1NtFkb0mE2Y+qfFmifhOX
RDa1ausboNoJZ6nUQ2bB/9MEtafj3PIz3lvkqoRLKmPG8xHI5UlNL4lpA5mN9LuhIL95bodTrC+8
meGnF+2i+nlEO+yW4uTxEKk1AfdeR5qwe3bRbZlL/azIIcgt52HU47uqbc5I1INJ987lON0lHssB
dE46Tg4GJAtxltSHGZnLwdjVlIydes2V/Euda1+avDymfX6qC/eYjdqdnLWwgE9dF8XFMrOgLVpx
ko7D+IXiw4W23ubOflxL845BdLKQvSLno1tLcWhlVR3JC/hWioj07aQquJCJ0LEWI9+1XrOLetz9
Uijt9s9P3j+wQ2ouOtvvmBfMg/zn78/3RGgEQdkF8NmW3mIqPIHvXuQhEazFeSiNOXQm4Ol1UjIo
ke9a0/Z3bZurn1zp0mEty/3YZWd1icLcc57VZdi1if1R5VkcNg2QCdKqCBdb86Al7+kigo0WWX0w
M4PyzRYjgeMOewjHb6Q+jEGa9U86Fs0NZndaIRXyRFEFcxv0SLWanIVEVO0wHO10cyKZs971pfNN
FOUDzJPjCP1b9sWxHUExNvXZ7XVvN8wCoK1I9/qSWGDj0sCOIOMmZraLWUuGvdrfm2LUAlLdj2ri
8Vwjh4V/olFRdctjliII8Ww2PrrQb8wU7Vhrr8KZNL9MjbwmuHry2dpZwBnCtKBArHK6KhfKekkj
iOJ8Y8XNuYgBrTuVfpMW86kYyz33GhiUhuCCWvTElXc3eVbc4z1j61BNRWhXSkqkO/OdrrtNDThQ
JVH2tBXZoylMPJFL+uqRppBOvJkW3qAuO688b1fQ/E5rSuwT2ktWirA0yGbyzP3MOWT0NW2nc1Zb
dUKppHyLNFv6DZ07s/eFQO+SQNVmPcuGc+rYn3W12KoqOhhQ2C9EimtB1oscO0l8Y0icS8Bc1xyR
zN3Dqh+farJwTyz3u0vB8Orw529VxB+/FiI2nAqyaogucM1Vh/q7QkR2M/aREub7mIZGduz00f/z
7/B7FQdf0nCYDLP2hK2LbGSVq//8HQwb96/rxfG1sDOye2/SMd2nzX03Z7wTiiC1262Xbf78ezLe
+d3P9Z/fdf25fyqwxiYfGtNQlIsqqgeMy4xK+C/cip8Z6Ao/QakRDK71jDeMLod8m2mBmlpU8wrM
T+ug6uTnWnHO6WCCRSyTbeHN2pubmE5YqtmjjZwtjHNxcgrzxUbZSK9l2CPvpqrejNKpNm6jYGVr
gGA4lRCHcXGMt7oiW5a9tbFJ0/QrpDPigVU7CTmBRTi4thowRX8YzUKy28sfWVbphzKGpCSGb+yB
9lxKn/qu29r93Pu6le0NNVHYLVOhFHNV7dB5qUFL8AA+wdU8mC73elJhJ07JSTRihh8e2JN++mj7
WacLSg+dSXrubH5aZPZsqvnRQkvJiJxiLY0MrC4D4dn2aB1ymZ1YBoeViPQQiRp8lSjnlFWfJxXt
X5qVFzdZdlU3b6ZI8g5G2jjEJaaXJqyz0vUbTHdhV0SXhjyQVa6q1bYM3Hh5QFhPAdcon8aB2BvD
QDcmnWGnNCkzp7F+tWNUtmp516L3x6ky+L12xK6pMDE39g77xLDRtMdKJPslIrFi6sZrw/QKiaN1
YJT7TqdLE0ncYWuZu7gxzw5N/f94u/2v9/haiP/0bptReE86yOFLdq5u46uyRS/7RID1gdjus8vV
E3xlJsNe8lJ9mU9//s3XCeZPj/CPtzpCJDRcOu6N9cX99M0R/LtVDoL3gvzSr8560GwRb2on5dnZ
kuf6eKME5+dpA1NveuXfiqs4q/4x3UZXA0bj/3g1v29sfnsxBkHFFiyC1VH7i3BcqDNrbS1Lrol6
C1baT9Xn7i+SUr+fKD9/D3ZaP//AsitHJUmKhMv1Pe6IAL/789/oH/4MDjIXoLcG7JNf/prlYkv2
7i2Xt3LbejwPFjXnbyfU3xN7nZP2vy86L/Ufpaqtn/NjXk/f7uJwgFyomwgnVtT6j3k9G1Abpt4K
ZGVt+X0D+aNvxzbK3wkp1L8tpT/m9atvlLcjYWj/H7hhRFe/e9rgjgLNwMKugemzHdQZv1xnveSs
Hq3RvsZGJc/YAtWGxbmbtCbjYhxv0pfRyF2vYLspQpf8tfoi1LIfNyPocz8ZLLW4uGOqlsRbxXwP
IkXY9ZmbSIE/5W0QZZNpYsjZKhZ/HrIxfiYjSkEcrsZg4vycTrg59GbH2NGbiJAHw+tAmEqUOt46
FmClcamedXWkziELaKgcRq099od2ojrpUrQCY6z0QGPVT1mF5b2yaYhL+iah3lcCDZamodOvo+bU
1OWpaqOzNi9PgtuCLhwscNOQFdIcijKOiJpiG5raWUo2BcbNYnFmP3WZfJN7RcW1AFV3vFuCZEaC
RBkSjz3YMpQfGLlhYZDOc0R+/k1fhiVMx+nzsFgGgakFTA3VCsEx3fZ1JbazPVFsjR7HOLLiwHDk
EuaDXSBzqrBAWvhqXVXf0G2JkJ6hDWZ3+qaYCwHzaUyLQV5wGWnflgVyGLLPLXMIhtbQw6BaMHuF
z77qlBhJYChr53M/5iNZoxOa69p4wEqybZ1RJw+ICSSUdkrHqDmYSU4mkllfM72+Z8vJmLI5pVxp
CZghf3KhjOAJEGPxZgoys7pkCgcDRXWRIwMFlw4M42hG5aZrXNun30YxMyyZ3xV1vnWFQ6CIAauN
Pc+W7FI6ATpjLY6fx4q6JWfHsSNxNQ0VO75dHIpi0xsCrR2O0zhl9H/dc1yjPZG5dQJT8DDEywbj
KbFfCyazKruPq+mcWiQOOSkJObbEnGHhvWlMJdp3eZQEKnRh1aqdjdsa73Wh9XutQbZqVTV+ERAh
CSSuysgfHct+KrPWx9VwoyRNEzgea1Sz8DJYYtk2K7AfOG64znxG1XhRG9w6JM7sprl4WHLrUMUt
8ctRwhjYpZEQfTbxRteTE10OejVPskaf5+fK0Y0w04fnJZqfNLP/ZPaMx1nb76rEu8l6C6k5gafW
8LaQisP0aJ6xYuTgVnJG5i5xOMYwPpBZlft1ppGdKeJD3JsxyQDtPTTll9yNv+CzZW2QIkxkCdCi
JTO1wFTHxylV4d3njG5qOzmSFXwEW/FaSbfz1bjVA73WHih+t6x/PjW9ulOM+nZWEeMvqfHA8o+0
d0CXvgFzKk7MS+o0SoBDcbukxTPav2qHgO61jOWyR2pHGEpnUjC4XlApeRUaJRsDco5fsmq1Eqzj
pGKR7slTyTzA0bmLVdmtBu1tOZOgE+mFuWG4SRoZUTRFL240zXzvIEZBaWivjeM81ojNjl1pANrU
lnfCdu8zEyWCDaoHMwyRa70UH/ME2WWaaJYZ4JsBI0wXcdI6DXCokKOC5VeU89ZhwImgTKl5A6Qi
aEVtBRg79nm8vNrJUMHfqSq8Dd5ltNqLppjv+bAYYb0gYuhy0JbW4Gy5bD+62TzFdboXsn6pnJh1
XNKSJ8R8qlm0k8qCbesuyhTqo31vLrp5iNFA+Di5GXLo2UVjaoAreSeG7MTA9S7r4PIU2SEZ2oco
aT+GxevDau7Ooo5ubKX51Ljk7hoCIqCaxDYzNc69Lq15cgvIQfU477K8fq7qQQTODHeD7C3fitBY
zUxQgnSan7yeiN6xRkYxVQ1fPM0JzBwMHscFS/qorqKCOvAWnVmSSJ71+X3uoF8geU03FXF0CbF0
y5pPpxFUV6yJdeQFPX2XexmE2f0/9s5suY1jy9qv0i9QJ2rKGvoShZEgCXCSRN5UUBRV85w1Pn1/
SbdtilbLv+O/9c2JEyGTSQCFzJ17r/Ut0xavsUq3mzOXqEAC7/SuevEJwFsIwhsMHoaaaLxaZeRR
fkICVbl5hkrQawr3PJDLheiLkKBo1GirDteC2D1eKi2k+LQgr9sKlcwXDRrhvLkLAZzUvpjMWRgB
SYDcazrYKtqvDr/ELtf3ltC/Ag4cobfkADI5LhUR78FSGYGOSgtU10iMLm/Fwb9VkkER/4sq6fnb
a/sTXYP6qT/qJHQIXFuFjQTBV/LsP+skvKXAuKiE6GuDK3iva3D/4zJxID+GCzneivdyMOc/rpKK
e/yAZTAs+EeScdtRRfgPXm9MmC4TUwtoGXuc+iPeF+mabsydKY3oBP6Gpj/npuxgR+WktkGo/1xn
GpWA9NcLuW6uCngri4gGR78Hp/Zqqwi40RfcH0cQYG5+nOCArRY/hX07IBsjQU7davGgwZv0SJfD
7EXySeL7GzupX4y+Jh7G669lD4/fGB4dMuoMvhNChdbhOHty/Hyt0WL9RMND3zM9PkbFGAZuKNhk
pFFte3LwqoSCKzLMR1JFy3WjwvII7UKIhH5gS7Tu92HsXvGUE1OF0HvjVSmUMHL3qiy+IYTweSGP
T1NZO76K6KsEfe+M1D6h4vt6YrJWNXGRq86tvnpk/MVk/RWCrbsdeYm9CgLsauOskQyY5tFVRVJg
qiIDAQMRWJOYZ5GmZ720plWS5JKih6jBnB7MDnHDsBq68YXMO6gbRp+ssthDmxQLTCh6es9I+IwB
hcg5HRxaZ/H9h9x715F2WBTGDcdny9FNgqhGImJMMmIsJ6pBwkPdMQbyTHpiZNQpfWzEq5hF2P57
QcmSdJxJsb48ELdb7v1KUPRKtAaRCmgECpAyb52+oZubL6IhNshj0xERq2hHa/S0TU3ao9OQ+mh7
NRrWMLyZVSRk3Eh/O0f0HPy8gMupoiNLFSJZOdquUszXxKXV1zzNeON3XWQpmWDMthu5+B5JpSRF
BmAAmZEEVYbEMTTLxnUJsaR7+MKcl9RMFXAJcKTY5Cr0ciL9knPu4ERtfZVkNRlpEUBRSCnbNCE0
Uyc9MwkNuRlUoKZpNre0x+O1i+dgnarYTa/HtMQA3tq3JkVl1C8vfatb+Cx7mpgqujNVIZ69ivNM
UoI9AcZfoUr3197kvLY1Eeqtb1yXoywDS/Io0/me1tGQEDQZMb0zNOeuJEd0UIGiCZ3mVee5+V52
EzjdaLzTVABpSG/cVZGkYxEqhV6J2FwFljYkl4Y6Kn80IfaeKKJHPzW/0hPeuSru1Jy6K437Bu8z
RaxNJuoSN19n31Ynodu467LznRvqUYm+YGHySBtTnWmTOt2skWTY+PMU8Z03M69ixMRJOHMkzups
dMficVSnZejhCQ7VCQq75NOkzlRHna5Toil5Tbau1MmbcQR76iweOZSpfBDRq3PaUCc2FUGDaIhT
nBi5+4VjvXXqy16d831Vfk84+E0rPpSmdxw8AHgUBgsFgkmhEGvxla4qh2pG7WfnDM2K1r7VK2dY
G6rSaCg5PFV70DI/AHemGsn4w/1o31GmoJz87lC2YFtUWxNxF2ExXxCk8myqVlhjcGg3k+QiNA/O
RbJIKpdoIuo6daX8TME7YHuMa5urgtZWd9bYd59o+I/Mb0yC7Ry9G9q9lXjiKcoqcSG7Oo/OeZRH
3kE2mv0URo4ZXqUC302BfGHd++hMmN9sxGTyaIRRTjFvp3u7InYPkywZwzx3G1EzGuEpfOztfr/A
SkS54exjZwnB86H2xhGPAKQKb7xlOU1lLwNAokuA1+ecOxHNSFgGm6JO2J6y3Nz0Ufo9at2b1sFV
o41iixKt3oNbzwMXAQyTMKYuw6dGkAPIt3jnhUAu/B56o76cfTs59tksgrrWn42JfbwCj5biuzNG
Iw+kDLt9w+WNZy08zZluBrMEK68BIl2VyGizQ6myIDurfHarISa6hpxI10kukyz9ahIgWaW4fCmH
ywZo2ELEZGiTNcnUMsNQkN3jdS2ZrhbZ3sOpUS47etI7bfBOkUquHIiwdIiyBODK2AFFiUvIpUFb
a2Wo3MtcJWC6xXhXqEzMWKVjtions1SJmSQOF6vUTECAgAmZidW0Bt0IihFBqOk0t0kqkCW37mVY
N+dKpXI2Kp/Tx6LSxOa1HXNVERF5tW0LCp1Qz8ypzhUhnxrxikGlO5/RCr2kIzmg45QfR5UMSuf6
GIJkF42HWDU5zQIdl0mYaK1SRfu03ia+TqypR3YyuaOEk0aBo1XGqsd6VUIWCgSziHLO1yBb7rjA
cQcnxNTBjb8dVa6p5cljqpJO8RhxWZ2nbUsIqi1JQ+2TGLsKAakkBLA/Y27KBvKkteSO8DgwGe7B
RC6bEU02kLSaWXzUOplrrQphdUljLYzoNfX9vSCoptL415DcVjmQ4EiOa2HGu3/ryd/sBTR9f1VP
gv//q0xWgX5+LyffHIhYgRkFIZrBwfSunMSBaAJDcwTIYeUS/lMuA4/E1FXuFiZdpWahCPyz7aaQ
QrTwLOY+NhKUf6KTxU74sZzEbYz9AYKk+iv4hT+Wk9w/BanH+nKyivhTY1Hv5Ax0CPwkzchYiq3X
ODuDh0jM9FYm/xPNo2il9wDjC9+5Tz37yqrkoSBfCS45iUSuS4L9JmEG/ZBXPuQ2U7+JtLI9SDZC
IrfzVPuKWI9tsjSsIT664VBM9D900pdzN913kjOv6NP+RsfIRN6qczdmaqJBiLwvwLpNpbWuYxoO
zVTdz7P2CRD5g0VJtNJN9mS9pb7Q5lOceBcGQQ6kkr+0dIFEVo6rKNVv69Q8sy18MoeuXMeSb1Yo
1Wy0JYkiLL/PLWiz2DS2oY0Ry+Q+T207nZDXPTc5xYKAtrJGHfetGYtlLXUG/f7kbSJdcqWuYtpK
tB7hjGn2fBinSguwfB0NkB4WkILeiI9L7wbAmlwsa7G6ZA/Hdqg/x7r/qNkuys3cusmqbiMFsPiE
rmebLg+yHbdDb9TXRjhyVlTfTd1gIJPc+r2qSK3iso6Kg1HMn7KuP2rV8F1vKUl1bXYD07JgIiRo
6jQtkysrz/ZNp5GEEDsBMj94HPQ0CfiOvZOJiQLJPZLbQY7Q9qsxkCoPskqRphQ0UzdelsHnmGoj
AET1Es/RRWnhUpRhqq+6CX2JZ7JjWfu+b09hDr/WoqsLN69taswdTl/sJDFv2Yok6YMl26DrxJWc
aDlZFQCbGO2yrYdfM0gUWT5pADIp/MrpOXJIfuJ3BlXuI1lQSRUxfrPY0p71lgyWdpDsrRkjeHym
sIy9K/rMYDv0rt+SzOZc5qNF2ELZ3sUdAhhTFvjGzEgxOfx0vbT9HnzFQmICTZ58cNce1fqOibbc
5jz/1z1yLVezD1rTfULGttd789M4SANgTaevZWcaTHzM9BJXDeUdQLtNLICFh0OqrcqJAG1ySEKI
moZ+XU8WTBJT1afZsPNtssHG6KLIaINMjfnM8EfgUJyTk2uZY+ADBZy9YtvLDgbNnOSBGMuvc1dt
zSH5UkWkfvqkIUQxn2cK5Odk2wRhECv2blP7ieDtw9zmLamPNDMmNiAIIJp9uHLW1kTIp+Ybp7x4
yOxvQtBhPvzjJXxu25i12SN1JB4/bkNzHU0dOFL7lHVf++w81/elf/nvGfV2Rpm8Wb84o17bl9dv
fz2k1E/9cUjh5YBfJwSKGsWZ4J9+nw0BzYIKBSCUZogB7RUdw++zIYSgGDhodpA2SRTSe7wdPQ+b
FiXOdosMI8XL+wdmDholHw8p5SIxse3y9JmoTz8MPy3NHIk7ybKToYN4ufBlUus0Cwtb4x4Dn2lT
vMWQ903aAM3M1j3ySaaZ++lw0MN0V6rLLoP5lDzzWAWb18lwTy5De9QnQle/hKr+dSTO5xm9Z0Da
L8Vxxu0Qy9m+NgViCkroKptPk0az33fN55BBW4Dl6lhTdpfOhCiAQnyiIK9VZd570yeaFN8cSvba
qvgFMDL30STYxr1qb3f+DXrp7wOEX+hUhbOS6hZQjzJ7CLkYgOhcApxqSL8m4+RxeRgLph+Ouk/g
G2GvaL394DAjKrJxjz790Va3kLGa+82gbiZV1Qwbdo90X9Po3vgoIgNRhVw0mvhLnzVyXYo620XA
30EZ68bWQsTFDdrCMDc6Mt6zT0Y68ZAcoSvI4AhFcy3fY2CAqkU84a4zjPwIuSC6daU7fXYGiIOV
y6YHOUOcEpphQWQkxvU824Q42eYZejL89Y7GsNOgQiCpptvGVWHE+PVY2kw9kkQauQfOQ30ft4h6
BmNacTiE3UVqtKjRe2kdvbq1l1Xhz13E31A2yYXtao5xAGOkZVsTdTxhLZnx1Wgse9332sptSFqM
mZPReqV1xVET46NW6SFbXRQ3TAYJUJ7mCsBAm73SJ/sMDOqy0mmgFO64y7kfBUAcr1pfu+pQMYJj
Staizm+nuLyozfbR1LLLdGR80JjFvRXF40bG3ovNNYQp5HVZTNz4YulmdJXmxNzAI7Dwxos4Xa4Y
yQKKAnKb1cBHLHsID7S0D30Roo8NuZZPcOk2xRK9LNMIq0SvKjpbIZmL2KvRnJRxAA7iRehc3gUq
E3DQsltb8bTpDbl2FSdMTQDhnwi8BUMKVApvOISHa/D9BVYHwRUzKhKuDhEtAv7LlN8bG/7GnesY
g4bqKwrirb3FHsgRSoa1PunXroANmbX0Y+YaQaWuy6OTTEPA0W5ukrzTMF6aT85k0Dicq7tRsV38
Gdw85iJ31eCk8bmFr6DT+PTo3NcijL7llZdjseKOms4o2bT03AsKtplhoaFTMfXdXGwqQxEZq9Hf
ejz6umGTi6O3EmgFFDHsmlG10B1I3Sq7KDtZ3f97fvx2fnC7+NX5UX6rXpKfygv4wT+OEBOFvwG+
HKUAT6VqgP9xhMCbN1VQHvHjHO/vjhBbeQg5d8BCvwGPFB/l93sOygO0Lvr/Rvn9g+NDOB+EPNQv
AuUDbXOwSj5hOx+kBS4sEQ8zsnYyeMCAttEgtZfXcETgnYncWfUW6cNGum3nqMgxUdXtrd8W2o3p
DhqBrm5VurcRrTcP9scMKa0z2s902tz5RWiEyzpxWKxMhS0AhQ7KwISFGHUj/4973I7oeXCgCnkw
yWTaDLXmb1t4CGWd6S9RAyKhMad6WylsAkQ5uRoUSkFW/LeWwiv0mdk+1W/IBQVfWMiouRhL9yJN
W2s1Yp0mnh7NGcyG3uy/kvvH4EzhHKiUMSqrKhjSw6yQD4UrNrFvD9eewkEUbRptfIWIaOcZ0pLC
RrQYr9BcREzwyMny8HWvTIWZWNDVMkbvzmlXWjQqZP6I7W6+MwwGrV0CvSG7TpooBtjm36QL+DvA
NqgzUu4zY3IamRx0CVRCj7ujLXO58hQSw1VwDEnmxkX5BsxQ6Ax6f/qme+NpIC8YV56CbAw1Qnk+
Fu1Eht68ErA4UllZgUw4XBSmIxuq6WbxQHeUnZ3dTNA8KoX18BXgI3xjfWTLkmw1bQ1oJrBKUt7S
FCpIq/ggyxsqBCynt6bdC0AkjUFHASuswzv21no3vIWs82CXh7Idhl3RgfYIHc27Smzg4Svph1cE
A3deeWU0fXhj9PFjHpOkFpfOc9Qibh1JB9lwrX/MDBltQll/131y6aUWXeZqSO+l8ymnVUwkYfE9
hr+HqlCe5oLmMF5El23eywK/RBoBNvTQDo17YQpuYUM638UpigSzKHZ2zP/4Lb3KSfRM7WcF6k16
sFtiJc0edmA7jKZ9NYhau5gtF6ALnvOzECpasqXHqndAq63A7ABv12kuLyFVMTDhQTthvHa2bSOa
o2NzkGtVxYRAlVTe0u8Auz+pa5PUuQLizOsuxqmwVvkQGUxDQ+8aVNFWK/xvptZdOmlxU/X9Q6hZ
V13tIos1tfp61pL5YCriLpv4XhNcPwvOk3s9DcON571KbTomOfph272c44oTKo13zTRvHKotXvPJ
m8tLURRPy6AdhZFcFjFdtKQX4VXp0RgvnNra9nF0R/0XkYiZH8Dv7bOGD8mL3Yt6TNDQpm64orv+
HPUj30AnOU1DRcJg6bcrTQ4FcSlNYDj5Aevsxmvb5wLr5Yi4Ho7Id8dluiuLbQsXmRS1QB+4pUUm
/QaubnGdHlxg8/44BVSyb2qlmMlu/uDl+sm0+wcyHrx5lfmVw1zPdy5Cb/leN8YtYNGDS6yaVRQb
hxE/WPfpyMg5SIfhOXasHbzNDU5WYu6Ed+6y8tarzG8+sotVkVuv0p9vbW1y1kVTX83NAnHcDmo+
Y/TP0IEQjSP0DoZFr9G6Fy/Y7e9H9TwaWXpo+/i8VNOpIJkSTNIhnKq9W1QBG2kW5EK/Kcrpem7m
wMQSUIb9WkO4AVFuR2Tf3kVzW9RkXXbTVhNKSm8mL47XBzkQVA1gTxa7G2y+p7LWwX7q1Q7OP8Ll
PjqbEn7MEO0nBB5FpV0yVMNTmND0NBnaT4ghiu+APIIQIQttsiCUWHHz1yrsbyd8Rqmn72eGfclY
fhGMVboF+LzNGrQb7NA8Mci766SztaFTimhC9eArG6a59nP4MdWo7wq7DfzQ5wkMNVAH+tbzi+8z
skV2uC1Tx6CLvbXjQTaC1nmg/7EnxuuLbsiLRXh3jlN/8WIsvcN80xffyrl+bXRS5IA9rFwr2RJB
tO3CWUV3b2Ki+SIrvrFIF6oG69YMmaZq6NdaHQeku6p1fa/5w97rtK0e53epqC4lJuWWv9QleG/l
iBp9G9x6vd/yVbzufG9rWN2FFc4s2GyimjdsKrs14hS4s7b5MvbVF34VY1YwdnNnoyxKAZG68RiQ
sPDclR1NHO1IrtFh0VwEPS4VepuRTschEdd41Rmt0oxx3J0ph89FXz5JqFsznmQm5PAroF9Vst2X
HsqKqahWi/CxQAxfxlb/XLXpLQBfpgbTNgl73jt0eaXcu1LwdLqA+4YbmOHHGtvCoCHfSNy9N4Un
kLGH0i4uhtC4iiskx2VP/GE+n4k9ogE/EtnpoU3xLy1jeqwRsM0tPS3T9x7CFgdt253KTtzCkNJX
JB3c9XQwhpr6ul36VSnyy1xEcPcbfTUyD27VRrVUX+ZMHs1W7GpK4Z7uXoqZvxtV0VMyFigfVK6K
YVZHzbTjkxbSt4LHkt918CmCxZQXLYPVBb3UAGNN09JvTNceUlnQucd7wSVSPqLHXJkKGlvBEkuM
b05Bv0g2X7I2PpAfeGK/hQPSZjRgu6NYEr6XuZsFi248xqKrt76V3RctsfTNlO0yyzinGdTljHAt
imRri7hoH2ZOMJpasUmWKhiwJbrRGAXGbK6zHKtHXJ4ZEu7ScLqYEAzWGja2Ln2WKP8UYJFvQMdM
dXA3kA42bayVAaNMxg59UOQcEmDg9oPmfRsGbOQJmqnB3ZIJuqEPxv7TcauOpmU7FeVxltGxleKe
WT1nDbjesmtWMskCLR61i9Ik91RnTsLdrjWqQ67Jq0UbH7u2fsGbgiun4/aQT1eQc9Ec6hx/70ra
/6cOl0DmbUKsIB3FB3DyY/tJjm3bgh7XTnrB4BgxW3arMYD59SLK8vGncgPJNmUoWnLafLjQ0eJ+
aKOhedAdZCfaafK+tgxf+8epgiC1LsDK/HqlnxW871dSf8k75XoVVrOxhKxkkg1twyF2gTosh8r5
lPZPSeUEv17ur/1BXhjfJpVDZWDQ+vDCTGbJXphX0XnQnmR/bKKXMn/59RI/e0VUyxTLLEOq1Icl
QqRQus+l9EyAcTruesi+eUxTOtol9OtNef3r5X7yimxDpXvT8aQh+TG4SukPzFmXyRkU7Cqx4NSQ
bJD9zWtCcf3xefhhEfXv7z6lLtSkcEIWSdt2JdtLkqPW/38v48NwB3IFPAx4d2f0Fg6mq6y6D9Fu
/HoRxlS/fBkfPpo6m7N6KLrkPGnWCq2pn5wJkWCDexS417qT2Xd/s+LPPh10P4jEgWcK2DM/vnFZ
4hVJmRrJ2W1uGj0K6vzght9//ap+toYFOsZG3W5CBfvw1oXC0hxvaNMz8A3aiyD0qmDMH369yM/e
OmIkacSRneOab/lp756AaoxdN0lIeW7rx9K5jLkpQnYm+e8u7Y82QowxvPn1iuqZ+rAHscX9ueKH
Dwt7FnZOY0bfxHgFIi3807/ZDBSi9d0SuAjw8LtA0UxYAA7f1w+bT1ch4Y4nozinl0z9DhyeVzAu
N+ImvhUBcedb4ou3v35VPy75trP+8Ko+LIlyrZjASaXnwcG/RSvI9NkUqv2vV/n5e2fzlnByCkd8
eCSchf64xKR2Dhs/MJGyePJv3jv17n/8dNAd8rT5TEMY8fz4YNdQl1H30fxyufrOnkm1+ZTYUNrT
9G9ey8/esfcrWT+uxFSuag3XSc8GcljvRoR3zfI329vPlwBxbZA1yDjww6OWGNng2UuUncvyJDBO
TWBmkBn/zVH3s68QD9sfq3z46LN2iCU0kOycZC+5hk9V27RocHEaZPKsZbtc/M1n9JeXZcK8cEHx
MbBnEm9/KBWIc3Lrwq3ysxx2Tfs0Optmuf2HD9qHJeilvT8YSpLuLXTa+Rk18MrQyKxJxd+8bX95
lt+WUFpVWMY+fbYfl0inqdByblrnLn/RloNDe/nXr+EvjzILkBvH1FDQeMMn9OMCbJ0uYQJLcabO
K3oEp+khgbRQ+q9v6/yrZFZV1P/dlb1+rp9/MtPjZ941ZBWnQvCwshNzhr1ryJJRrJq0eL30/9Wk
/D7T8/7DrA9RChE5+OvfJoF/NmShnfj8i6VGhfRl/8lMD8Q2D8Cfex1+L66DcC3V6BALGWqWHx+Q
tukKW2DuPNV1x8XGlDgXfGYDtZgfjLTZhWqKMhrNOqz7r3ofPiXOhPJkso+dCHMMKNqDPzRrXcxX
YuG6IWi+QFGTeEeSk4Oicw69s55HRpAYvblpuNhnk381WuKyKqqdF/n7PjVPqV5CHoOQGbQRsGwG
I3eOIEEOYcir5pRAH33qpsGOrlwHG60GTnHlNWIzm0qOqNEtsJKDLkY3qE3vEzToc2fmJ8GIElFg
OXAlHXLEZvMunNB/zcK/ydPoLhqzgOxmDDyCHmmUVzpTGvt1rKL0aln6+rmUrDOLYbdorQq3iECr
GftCy/QtaM12DcA+3kg/0QHbRfVFr0fZxqxJfu5N119ncRMkudj6Tf41wn8uKdFWJJXsAP1y56qg
CUzA8beuDlBkzPatMpOAVyOLI163dm4cwKQcLT1PLgx01WE5kxXcEtUcZiiaM9AS/ujcNUbiIE9o
ZaCh+kP40NpEtjqHckSbWi0+tuhO5AeGutcO2gyrLGXQyfCpi7z7VKM/kGjW3p7DVzbbEmrzRIPN
KdadSNH0VQhpNZvM1jjsmBkV+v3s0fBwJ3EoSrTCdlTfMoPc07V1g1jQhIuWrgmqpAvZzQZ9BY2B
NK7U3yYlKs0lTmZo0NhjRJS9tEZJg6ExmFlpi3nrN4ZHnyJDtoGOD4V9vNYYyG6HUXHVc4VYz5AJ
ktAEdj3y9DEYNS871DDZJwVnH4AlrRzTTXeyEnmzb7uoCu88pNcXZE9/i7QKUjMwvwtCYJMAVuWh
baL7TgdSp0tzb2u1DArpbLq4F5vBK9feUFbH0muvCF78Xk1lu7KXkWH18KXuwFzjK/vUmw2Ce2yW
AAbrL0Pn6QRzL5d9OV0WhW4HrZcizvVQx1eQs0dxha+Kr4T2SY4GiSlAbFKTjr8T2SeXWSrxI1uR
MGOmf05OT9btMD9e5g7zDN2XT0sdngY9e/CnmO1chIfIbDCbIcoMUqNJgIdV3TaJSxgP2VUcEdqQ
R/GGONCrMvf3UoAXH13tWxImDwh6myDSohg5p/7NSupPQ+attQgiaMuE6XloxUYztEdg1rRIpXdl
TXhyjNnJbpzMfqLMO3aG+81duuMs6uvFwOBEZM+qq8RpqirzqmwLkPRNvqld52hNbQCEQsc2Gt8O
kd6vsmR+Mt37TNvYs3esE2DgA+7tME5aWODafTK48Hay/IYBj4YHrX2sNXmbQhfCOEbMpWCA4Fhy
bY2I+pN0o2nOflHTHkRQtH1bOhU4sFZ57F/B86btm50SqNG9zadu0scZXFDmWbE8+c4gt5IAS8fb
N4LOd66lUSCH5rIfl4NfJ19p8QPUMAz0SCPotCS9k7n46rf06/oJoG3ZAIvU0LIbRciXuIoZYseS
GT97IYT6fNp1JTr53+7G/564qpT7v09cEujk83+tntuvzz+zEKkf/v3oxU/N3RQKmg33Q2FO3x29
OqncSDtxTjMoNWxKu9+PXvEfA6INCDRHHbJvYLXfj15SuR3OSA/MqY1k1P5HcpofSz8OXp/zm9aG
jbeTDdX6UPpbsaGNktHSdcy0pLuepsd3b8v5tyP8PR7NNlTx+MPRjgLGxp+E3Yk7rXA/1K992Nky
FFN/3S9iY5r197m2r/MwvRWt/I6SEvh6m6wL20JiqpUHTqx926SgAomadTSH0dJo7Uq33WsdXuo+
3hKC+k0Djsa97pJIpoljJBtXS5yfjMEQGWesbKxTxFxOmUNhxfAmBiJuihnE6rx0q1EXhwlNy/dR
6PDhCZ3kvE3ctW0n+TfAY8RGLEa+sZndMgmLtC9pDuDUz+yXPoZHJQ3c5CBAmyPRFJx0hndCjK9t
cq/94regt7nTUbnY9nhOp9Fg+lnJrdEiY5zb8ohQ8ykzzUtoKeTlFvPlGA3NPi+rPSfism7D5j4U
+c5aElgfuLmXpXzS9BF4qD19LzLtJCefYTKugW3PjBLTz52bFitNrw9W4z9lurYv6/5C1jr37H6+
mTIQTwvRCNHSrkFTXzSu+xwaBBXgGYLJpq37LHmWHVPrzrVx93r7PEpPGh1iNBco781HJoAXfu+S
sisu7bIR69YcrnKUOQ562LYmnoR2/aqy/U8pRgxsD/m5DdFodkt8lIn+WDdE/MxaemFr9j3gMRjZ
CxEJ1mLfJVgbg7ib4k3vJYc5JyxQpIzhwtTZ6Q2No8rJnnqbaBGdrRsY3iop5bAlgeyCMUvA/Pqz
zex3jMW10zmPnVxOWWLfxgUDjj4sdq49XAHtP1TzSFZz+jkeGDoX/rgHrXYJHe7OMSo8c2n+2Sy7
T0bogqrpt1XrXHiL2GpT+wSEHJy59DEcd48VL549dAKJuXyDzrthIBJAfl1b2XRZw4UiPIHpmz1D
Q5UgnAhfCVeR4z7xLcDVlD5GoVLzIGvean3PY9N8n6t07wFasq36SRlHNE2/6/CKAANL12isA13k
X5csvMkKYwHjGV2SKMoQgGHOytbc+3ihUKv7GDAuzE29KL76BiIeDXb4xltcQQBBV14kmObXWm0M
a+Hcpb79pa87AE8mCp+8Vt+edLzTjfSo9dgrzAYGjWgABBLPcTt5jM17PPZHTkxF27W6jZ+jNDYJ
T9qMHYwGaTqbBI+6jktt7TchHW2foLwYpwPGidqh6CzaAXF0MWtkGoKlSq6nNiEkuXb0NSl4/crK
6ihotYz5ByK8tY1Nj+xDTd/IBQxsKcPstvIcU3J91I+1owa1s7mSTXuUZM7Vdt0dyh6iAnhBwqjN
ptsjbkw3UdJfAq/HxZLVwLcAq4fT4m+WycSYYef1ppJNhXAuyU9urueMMrXuhqkxQoGwfhHL/KkN
rWc3a/bsb1cpxpHAxxaJ1V67DIksVMGGKA4cMQUSHfsdynPSPgw3zD/3jF/HAT0ZCkfYW5BxzDxo
U3vN0KEnNqM84vNiQzT4o93xpuwtepcubJ4K314T7nNLuePToF7kJTr5XSwwVOX6Z5ocXAH0i9EP
8105ZU92Ggo4v8qbGDpHg7k79uHE/VqPhOABp0aSYaNPv8+MAuF4Yu0stwJbQfJOEHtLRuZd0l4t
XnZtmfU+87sbo3EwNHbM/xnoMbUSa7a8g2mEPW5npz3k8/Cg7N2FWQQ9oIt83TEe3syjLHz2nP5i
1J3qqbSlxv6rgUGKudD0LRpypGPrtkbYi9agnQNc18OeFPRhxzxv3rH1x5/DhhXMPr8vuUutQVL5
F/3cphdclK5L+r9B7lreAR0M+T+Ve0+wCmAjO1U6QLNrMAOFIQ2f5t4J53uvFMuXJSwTHHKUpKKP
mLqO01YS6L2r9aHcwajEPscPooYQ/Zc2yb3t5M3JEuTJGHMqxXJvEzS5ysZ6a3lFu56L6tEZau41
sAXcGXBvddJn9yJr5gc9TjdDgi4DvclDn5v3Xt/44B2nAdtN2q6rMJ+DmjRl5lv6o0UW1Nqa7OZL
79TGGg4Inp6YBx1cBHfL0PpiTr68C00xbb1e80nN0efNr4/nD/0rBfnxmEEZoDoFviFHNdTe9ZwR
ijiWF6XltVQK1wmUkjPejG23/fUy5s/XwfgiFEHpr0WAdBcC3OPyuoAw2DnmA7vSGWH9E9tluxpn
nw9gzvcD2qfcy/adGV/CpVx5Znlkp7oUXPtSP7uBt33rNPrGivug94mXicJXTCHIQ/kK2AtMUT2i
U/JHXfeTAuanfzkGa5funqBzSefk/Tskir5KpJ+V1yMohGhGgwJvq/pNjf4y/Xf0inMsR1FVvq+S
3mI7/iySADqhRKOXbKpMYezcbyF97z4HYCg1Cff9cF3jIoDfZh8ssjNWethwbjBQVXP9L0ToVDe0
7NczTrPRG+HHzNzCQwvnZVowlF/6G6Kv/LuSU6mvhmsurznfElgSAgr3SlTRdUKE1BQK3nOT741T
IK2ZfbHcCiN/zmTOfTRKdssI/rwzALlizwAxZr1orblVcd0Bu5Kzmkk5D6rG2qVxm4GSwaQ8xw4k
SPMVSc7z5KrgP1wik5tfzYsLPNCdNSznY3qlxzVZPhMWxcgAOhj7qQsJPPoU9kZx34yC88OI0O7U
zJCdWu4dA9ZZxRFncD+dUzfb1Lp5oiEFXHOhBWRY/8PeeSzHjWVd91X+6Dkq4M2gJzBpmGTS2wmC
pEh4by6Ap/8XVC21RFWLUfFNa1CToshEZgL3nnvO3mvnp6H8POibwbD2rIuPtpQDgBDKbk71xxwx
RVDWJaBAztcaWSiLTukx8Zj5VgQmZZKKXdujiSqUicbJ+Jwlavw6k0Qkm2SOWnl8plYLgclds4Fk
iLFYna4K08wBuWJVNJfpQKrXnwl+//N2oOf6U9H85/3AAwkx0CANDnjxz3cdjesK8KhBhruiPmtO
R4hqPeZHE9OJy3r6FHXg3BlGeYo5+XaSty4r6hmfCkaTGFSnGnVndDNcsahnRmU/aHoZb7rCaHDc
yzhxDZRWUYL+ebRHG9SoXuxUNnVfKEnjk9BKPcJCJBdV6cHwuUYWPHlK3CHgwEjr9nWzesJIjVte
28p8duj8AgCoLK8t1FtTnamdCVfXesU3K/owLRoltxXmQ2qbexGqXxjggigSLANkj5nldBM66alF
1FkDC8iEHLigyx9m9doYx7Msja+bxLgCcrQ15/4B25HuUjfKgdkM1IKI27uBRBJ7jXXRAMcSOs/O
YUrPEveEVzvao6JJD0pMg7DpFy2IUfGMi0RLaarQ4bVbWU73DqZTnDjI/UZfz8Dj2bY4WPidhDJ2
bPNQVPP+RiP43oHa0VXzsybIstLa59LCFTxznQBfMw74nLxPrdLciEr3YyvBO15ivHKSy6yWsv1s
L0HVIVXL6RjUFDSVGXEu4WEcJedSNP07nYbVLUxfZkiB0gwZc9PYVyPYQ4p5anZQljX8eLZCPA3K
dU+sFWo2xKeSEgaZImAuo+SSkgsj1t0oxh6USYeCXRzz2c5WUGvW3YbImtLZ67qvKOyaeSg2Pds7
3ZLaH6Qm9fNM2qbCPizoHywnqV2hRCheaP+gkFQ2KT0yQ9gXoa3s0OwcItGcIvKh6u1z6TyvBVam
3DrRI3HAC9VgN0A5pNWIbYWc7uJanEkdp4ScADwNKfdgkW8hLkwjsDCEC/tYTBuT9DhSnq3xvpbx
qxfymYlfN5hC/RSoLZi9MAwPMMAsrzMUBeESdFUxLn5N3bCrZrTvs2ntMIMh+6+IrcBbCDWxVT7Z
2j55Uj/OTtTYmVOnzga6mrC4ujN0cN40wq8S51l7pnBi+f1+tI6wPu4UP6wMqxn0x/1IjeOS0wUr
Q1W90fkapyvaymX0QCL2719opbD/8krYa3RohzBG9I8TTtHRfUrlcaKrNpNFlEydl4TqjUE/cx9X
sAuyaYQgldDeVWTlzF7DEs20kjhMENEk+Ltep0jvumxfYtO0cSYOd1JSnVeydZ1TvnHq8fpOvZ6i
bvLLPtoUffJUpvq9FOf1VTRgrDeIANgWxnAwaNpRWASzQr+VEm9b9pp176jOdb2gFCKMbtD6faKp
hyWa90btnIsMjRHbNk70Q6aWPEzSCnzysCveF3WLNSHcixpAcj5h6DYKMCJY5XMRPTaT096rESFy
aqdFn3yqP/db/lzYf/xQ10HIDxt9ZuogruH+HO3pKV5eZvsT7dJnf//DxiFLOTUyyFTiYa7pd7uN
dvvJbfH7u+IrkeaHN1CYRSZnajQfDfUiwa3PxyTH8ydj1Z/HQd8+JcxnlKSKgVD/509psjoIKDrv
wgH81b/2oqAmuU0m65NvQ/35Hv/a/iIcACsCzS9K06/yhR/ezQxpRERLrR4pY17Z1PybfBP6UjC6
iXfvlu793vTG05erxIvvpuA5D+YXnuhup+1//6mqa5/tN4/11wv94UKcMXFqJ2IZ6Tf4ajw5mK6H
LemEGydwvLzdKFs+543iMSRw48Dx6zHQj+Xr76/C+Kur+PHu/DA/zxH42SoN6+PDtFcDiNUb58Jy
zzvdjf3tveGdoh3eOsd4M+3g/e5uQp/EnB3rnrts8RSAHHEz3/Gl02FXbrtzNKKI/vy7yh2Osjdv
jb2zrw5i194Wm+vfX/pKrPzlA/zx0j+cZCS1S3Jo5dyXLr6oTfdWb+obxW88mIs+GakBAPuTanvx
ehoMe9x6k5eewKA7SY+kfnoh8BH3S+jd/f6q1J+bn99u5O9rqLn+/IevNSFnvQWZMR/jvePG3rIj
VOGmhPTOJMY13dAl3dXNt/ax2alPNNKC37/+L4cXjhVImL8/Rx9WG5Yaae7qeTrKSxVYQhwWvBnj
IFefbErrqvLx7v3xdT6sOnZia+O45PORmtodxas87YT5MmtBI/e0oja/f1d//VV/f1cfO8pSweJv
NOlwjInbm8OrOrr8v73AhzOfNjG4NAsOUJAd1ZQ+oGP5v3+FT74Ya30Qf7gvpKK2S2vmQavqY1dk
m1olXcj+5Fv57HP6sIp2Sg7o0Ur747R+KxhBnSn1/m/v48MNNlRLN5RdMR/FOAEZP5JFBtHm4vcv
8sndZX1Ylcwwkmaac+wGJLjrThlkeX+uaYNnwQZKhXocEXn9/iX/8vsxHMUiGlPDsfzhJVHKaGGd
9MNRL97bdJNpMU2+7e9f4y+/nh9e48NDQ5BzJzWxPh2Je6J/f1kUn3QVPnuBD0si+KFJS/H+HmUW
bZrRGaTo37+FD/K+b+vb90fxozQ2Thj6hDn3MWcDl0nuCTaaM44I3knrxUF0PnyKvv6Qkv7rS67v
+odHB9G7hjskZo96oDFcsqqeRby2K56V02U/uhcLDE22biMAOebal5J71Qfrrn7x2FxoJ5zaGTYH
+Ep3pRdvPyNz/+VG/uNS+PHOSVohKyEPnXK+buSS221zfV8qnpttdf++dE9AdR3e5RcOZ+3tfIBe
8cnqtYp5frsaf/jeR6lDL+bM1BI+0DN/NYSZrnPI/Su0F6fadvAfYZi6JR3bTbutt59LMD+7BOvD
vkcUj6SXou6PBHa5E8B+N/1CQrNvHYa3aVcHxam1BSn3Hj1q3rTNzgnwevv9rfn14PWbPcn6cJ9k
gFD0ruTWbDfTBlCwm6xV3T7zbsY9KIBkLVqOjMbviffwi029tS4Gt/WHIN4T7Pf0Gb3+68Hsl+v5
7+P+0VVgSw6zoZIlpQn0rbnFlzJtls1ymhwU9xVD1QZn9b7e0dQ7nTzrNrCpDkC7brPNdeKvRcJ/
ioN/Rvdrt+x7i9d/ZlD/hqy9n4/Pxdu//3VORybiZvrz/+2//Ptffyairb/1fWYPznwlncu0x3Xl
K+ditfL8+18SjoY/GNQT90Wv1jD0tWP+bWavEXgGIxRLAgEcX9me3/3L2h8acE7+48+u5Cf178jl
gE/89ITT3QSlgTrAkWVYtAzWPzQBGhP8i7DkEBCBAphtyTPHU0DUHaSpkQ+l1YFgk+R5YDYUnyTh
/GhHCsuilb5qI9EnkkCitoOcXoxBo9H8kuuGFF0GlJEHUL26i9qRmBgM3B1tIqIDcUMmpuqKmnaX
Tg7OWz/IYbtRS2MNPEfPU4KAKsl+3MTw15ugzzt1PbboYP7aFAcjrG0HIREIxa9hY1lSU2+nawbZ
RASxREIFTCYa7EYSjgCXCEi0FZDVK9Fa0pBt4R4lJGommTgm7CwflPOa8LOO+f1CGJqiLYwLnFXv
e6pX+Z6uy35KwsUzTKZOC6o1r+rGwVc7PT6tdUbLtXSR0t24qkP70K+JbOaazcaODKutq0j2kkQW
zCbZ2i3hz77VDOdT351LGc0CEZFcPOuYaKpKBDF0ecdFGwV1J9Hm9j3T+uskl6/RYxZ0RfO+vJCa
bDnTdOjRTb2JajN+gDDqWT0Jcczd8THlmKyr+B3tVeqptRXRiWSU7AwkoWrFtWQaYlPbJF9atNj9
FkkTmGqy4HCrA3lg3LdYpq8qZXw+RoKo0DploAqCvZ+k6spEO+CYa+9upgPuMNGrVWSQiXQGWHIz
mggp5qHWbzuH5ZlMz3UQY2/QSiaMhguP0LcWKohVPxrhsM5WJXSGbkmD2euYy31SE/1Sd/HA0dc2
kaIw2kOT+vPmTsiKkBlBpkeVQcFGy4X6TCyL7Yk5I1Tv62P/z/q3OgX+9/p3/fyKGZnVr/p1DVx/
89saCOtHXudRsoWzBgEwpf23NZAfMWtnmvefn/Bb39ZAQA2aSUsPkBjSYUB3PzIcZGVdTcEKaQ5s
5L8lGUYf9WENRDJMW5Krw2TCgvpRU66lY9nhSBbnU26vvfKE+2VkAFuna2Tv1G/gEHQaHnZ9fBRp
cai7ifmBbFtMw5PEC2cC4cLSVoA5mAEC1MItZhr1ppxIB7lfno1QXRjy9G/CbDoc5rR36zy81gbJ
PCPkCkjCqDWbehqbo6loQRrFdz28FyGX2Hod+6To1RO9Vd6zab4TcXFi6dl5k7c+E52dk4BUddIC
OUtBdk+aExG/zKTNET/csQwxHtMN8y219FthSk/ZKL2JcTXmgnD2JkHab1kVX1A0wayQpWMvs7hB
xQFSnqH6HR3O3jFWUlqBCvNyYilGQBf+MFd3cVFdqmaEU57JnTXrg9cMSDWidjtEZ1Gyxxl/1XTm
mZaHbwuDtLm8MJVa+PBwGL+bmwURTQGaM1TD17g0bkYD+qWcvs/RGlmbq5c2AAnQvHSAx6hD39nj
0x6weA55nENzJm6jcZB6teZ8XUBe90E+6DsEq6mn5XEbyOVguUsFt7VI2LK6kLAOqTc7X++jXRaj
BSkkKthBQj+m5Ko/gQ9001lnYUqAShsVIIG2YRWzSML2MlupTxBNX1VAe5HLVPIWreTekJXEb7U+
2TBiMXZD6MzZXRlJVnSmdktxT9QB21XOas3HNy7epJnCHadEBIRsvXcOIUjxeB73UAK1ouutsz7s
O+epxZX7hSQBS2KIidKV9ihahM5Uzi2Z+VkHmdWL1Lnc1LqozopFTW6RBd+1kEB2iAGeMmBtnkEm
2rnQUxW5zsAWO9s3Tin2WoH3mNTIbY40bdcqyq00hIo/yEJjJLKU21GAXyr0onGtTi3Pu5J0bZnP
UuvGsymeK4KfEoZhUAWJ38ini3KGK2gPor6BlfvS4bA7WJk6klgdv9VKzDFen+UgcZSjBHIKIT2m
nUIyGLQ4/bBridfcqa2ZXzdmkwOEsMqbTJ17UqKSGAl0fVPZvd/3JtOAYWEclRi7yYSpNYRSysxn
QCFbzecCWIYnaWj4CuI2AiNRxaE3FbTJCRmk/Sw/T2HtNbG4I5UdSmEpz27FuNmPdGd21UmX9pLk
iKcsFcItlyb0E7svt0SQZK8ZO+AuHxhlo3Q5yUQ87UY00AFarlWFgogZw7zTXgpNCU9R2oEJHOdj
B/UMArYEh7lKeDKLkeODbE9+j0DsTLIXtHdKRgMPsUTwz370J1KIGvl/70cX+fPrW/vrXrS2wL/v
RV/RQCx5pmnIv+xFWIvQ1Jt0f78aUb7vRc4fjA9AzsnoTtGlrqTCrhr6+N//0timFAwsKF/x89Ij
/VsYfnavX/ciZow2ug1YZqt/8+eyZZwFAnXdEogzx8zTe3Jvx/nKqkZAxk50XihN+krJV0Kr1m5g
dBNUr0mYAizxLsXyRsU25S4a8/oIbK9c5jZ4HgjTTIpe2gg3w5QjhyNA70p38mgrA5Bm1BmegeSH
WlpbL4OWXJvjch9jHPDUHOK3WuveRPDlLrPqE2011RTWGsbhlJslV695LV/0CgdekirI+5gZhNlD
6oWLedZnzi1JBCjKs+hL2tlnehteyvp0HkfdrrJIRALCcanGsrwhHIG4G328mFSrClaXu2upADnh
AayZ5IhXG09rBg4YOmGLjNt2CnikjdOz9mQJD+MAgyzQsnBrEsCDhqGgiK/1G+SD7jg7/qBpAfof
2HMAxmCwz/tFgaDZl7GNrHe5M5wvRRWiR51Wc8QJO90DGa2JV6eAePSVgzzMYe6aIxuqMc1vo1zt
R8XaWJoE0keO7yKFQwcAWC+3czjsxDZhH8AMYYEpso6rnSOq2rtKMl6GYT7AEttKGbpXcDlNp+wJ
7bxUZ+DvkWFe2XxCYQLiXqogOuf5sdWdKzORX7JpIX9Xdohkl5FwOpa4LVT9MbWdI7U+VNWx1Df1
oOCSnqyDkto3hBGUnrnId8mY5q4ooapr4W09tceaBPSoJaSzy3PyG+KnaZRuam04neLpqmd/lk3p
gc3xlWwgwzWQJXhtHbGjglRjnNm8W/N8LQ9QphvdOeNrOhUIcDij+aH+rtTojNSVZT8sm9qqOh+J
53UVA25JbawfkbVdUrQ9bVk9aaX5yN43e4Cqn/VBcH8pDW6QiDV+7KtTZcy/hNyRTqsVvk7YqZKb
J4M57yqz/zJK7NdqrK2z5G3EUYQ0r+aC0W4Pawa8P1aJ2GV0kfpSTFd81uw1yyq7S3s+pKUES2jE
gJ70Qr3qzTpw6gLIS9E6ATSO+iQEanFUh+pu6h7JNNV45h4ZLSOWApgYR9QGUPUJ6Jnjy1m0zj4k
OhRcYTdtYe6BvxuE7g2NQo9wiImal+p3PEi9c4r9rAc8GIfpHPRF1iy3o1Gt+NpxshEGRWGmX5eh
VoOxiLS7RE+rQFeGa+zXiHJmHXSQTn6uGP3cTjlSls6WzKrOlxTb9mFO5CcJu3NQgDUJaqE9VqOR
wmngcctjbmliCmDcYmBJAHd6UlL4ke1M13Y9mW4Vx+dTvHxZz4KQt2yfHNONLAak3WRJLwR6ByUJ
2z4goE1uWcdJ19HwJLBD7PvEKDexbYToleON2TNEt0F/yURYTNVFngybepSg1Evdoao7GgFjf6LH
JTmj2QT+1bzm01WI+SVIOm0vpma4dTIE/OiNvCgUL52p31WV9lDIFlhHeDFpTnBE06Bex2V6Z8QT
/a4FR4ytKUcRjo5bCsgqWZyfymLZ8n9VwqLWUO7ewHpj1oiT8fRq2fu8NLd1at3VTXJGo+Gl5TDg
yYV1bvbOiTlUMmV+rLlagwIf3ojkyaHyIk/pFZrCU768hvobQGCfWbfFiBp+ybUeoK4dBw0iZnOR
dMpnh75l1vhVz8M08+hZyxqYre67CIJyEuMEGlgFVOVEVqxDOPSnEOSgqoBzISrUJIF9JEpDSwpo
mhbASR0JdxBm/ZsUE1hQOQ36nsFJ3LqWj2XoMHbOh3mnlsrJEoXP0lycxtlyK80aMQLT/EpcS3o9
w/b0WiF2dafjkwPNhpCteRUVejtpdeVVRXmb2OYhruvXhIxPSk65uME2tpNK9RbEVuGFNd9GboXE
f2Syb4cc902xt4o6JNd7gI3M7lD3r46KxLArcu61rhhoI+SYIVpQNsoMYD6PyoD2WAe/aC1+1a+F
8D8V0deKaG1W/64iGorn7teKaP2tHysiQIma/pXDSwboT6dznEYYKSET0MNci5H/nM4hLK4mJE7h
nOj/09f8VhE5f+A2Ulc7EPwr+AnG3+lQYhz/WBFhKELYzlXQ87QhOf9cEZGyXJZwp5Rzg9StbAdw
lMR0u8nO0jD39KW7tOPlnu4Xz3Ofb0Xk3JM0zuEuJgEMjyLa9tpNWGJaunOBVrWX5lhByJYPQ0iu
QjHttanzl2FnpNJjFUUs+qxi0bmSOtEZtk/bQ0XocNZeSIbuOL2ZGDZyHRAEsZIYJ0L70dLDnJJF
IitY9I9LVeyEqiFaNMaLRPSMrkF+83P5sIykf9HvOKPtAR7Syu9KaZhBJspvSd29I7H8YpOjC50+
wwyiTteFPbGETfqjmKX7doHCPS2Nj/bRBq7mHEtzng+Snl3RxV2BcgxHJrwedMX4h2H3Tp9N5x9C
qh8VBPBA2VM1Afga6qpfxC3nmUp7lbMHY76IOyKwO+jHhmjZpEHGhFbf+iyhs+4ZGcgt2reE/fq1
hgGm7bTeeVYSQnqCZIKIDGI9ZihcZjsQEE2Ay2Bwe32qA5q7wqX5PAV4oIjRnudsr6ljC+k9aVFb
R6K/jOcG/v6St5djpaWEVUIoYV3ho4IW7HYtTdK4IfqlKDMMFo35UC0tLeQBwq3e6rZbVUQv9esW
i6GpCEInNLamJeZL7k3dTYdU9lOO8HFlVidOvqCoIxzwLDRkJJnO0J3E8KW2U0tLuCRdpvMblah6
KdbCrZIN76pT2aS5N/Q3sjDaoQZ9Gcl+doGVEtBO/pyrNHQzk04CwCybb45UIVomJgS1MLdq6+j7
XB6InjHS/MLWMFQrXUnAjzQngaOU+lbPNThdY2dsSSV9KybF2RLuSPJKK+UX1lJFJ3xybB+hKJ/t
Vf2ozom8C2UAHh3hNnRQ6dEzycxwZVnoGIpWKl/qGcJQReqU261i1t6W2oOgk4G+cmi3TgzkCEKe
tq174kT58nRk2sY7mmuMW3MMLU7XtvR5JVoy5F9vESZSR5FT9iIXFCqU3phoi8SC89ea8Jz1MaBY
UiSusjRh6w/5C89cdNJixt2JJSv7IAYkhxhJsyecsfhS33MyH1CRKuplRcHnA0fpDn24yO0BeScW
rekml5SIAKycmGTNyTZV3tzNkhN58kIbocIyh7WZkIexe5Si5j6vVs2y7dBJLxaIqAXCmFS2kHDP
6Z1SVhcpBpan2YHBqcZRfDoPtu3qdU/W9XCJGQwdqpknHlTWZu8M5lucj08MJzYismNvcqR3kfZr
pGbyCM76JNfzh8kU1pb0P6wkRbsuIs4ZHwWWEue94jmV1i53X9g3sm1cNEp8UuNncMu2Olqy/qqa
zv2YSxPttumiX1p7D/txhwzimvbObRObYSD31DPN0ALfnhMSvpN5q6kLXY+SYscGfybonbd2fBXJ
reFaEfkQA7L6gyEvz1NKzKco1V1SxSeZFZ7bGlLZiYbZzKmUJwW4MxRpSpokB+FXOslLapflk5n1
mPm0kb6XPtD0pCA7McEluToCbHqJuMI6ZNWFPJSBqTUXlZCuza5bAxiz5CQqmYpPNFaCbBY2l0TF
N9N1o7vJmhRWIrosFIdagMflclgfnkUOOXatL9rXRhykZMJt5a5OrvKorX1b7SiPsAtsu9TkQGTQ
ea11ZQ6WlIMbWMecFcaat9Mwp0HYJZqfWIUeOEtKomZrvDPoWfxMX/YkTZ7LZXMotPQUakwRoLlW
iTEjVlOTa0am8GY3sWXI2zykG6bDxN6p5mSsseTUZ/lCJHmiblVtYqlPudq44KlVBbbNvATmywgM
/0PNKiU3obIViAEvDZxAawJERKiPYm6lFAxFWnCobaIeqVgBNYBlanD/KXX+LHWQNv3vUgcf9f9z
38rkL4cR/OYP5Y7hmBQt4Ev4sz8BpRX4JXRymAXAQkWr873c0cw/CGFU8Td/K2m+93/MPxSaPuwk
Jvw90q7Nv1ftrKKO/872VxmpaqAUso11GksR9UH00Q2zYQAukKChF6mX02RIQhqSuUl2jtJXxMDM
2Jd1zUvj4pIRhEPyMdZL0WT3Yu4rP097IgpIpWJyl3qyaVauKubQbxpb+EnXvYhiuiNu66mWm7N5
0PYM/OzTusjbAHsPcU7aLcCNbaGQMB31+dX0VXPfaK9M97zRws63moQcImBcTIKc4NP2Xp6s90k3
p00q6utCTW8tZT0sZpyMBslagsJpHvShHvxEqQnxIug2jWqyfiuJwC9SaRWp3YpMoq0e0gTqBiLf
FvDNPkgEhhmCwswPJ/2pzkdpvmQnt8cN1FNRaGxwPe1otOU1Gacrt90B4M4s1dnUK9N9XOnuKr1r
4K5aMK7k92xFwK8seKckT3qlww9y+qW3rDc2VIdESttwtf6Yj7dqh4cjXPnyFAmciEDOWyt7XgFC
n640esTdajBP0D66ajyYYdedNHL50qgxBr0yj7GV0DVhHmMWunrZZBE+G1YYnwnkjYynNrOo/bqJ
cxOzmodSr+7YUCvG0VN1yuhn9iTLCUrLOdciTIJ5deyUblu08SZ3rJPJCB+o2znTZ9oMgTHdDKUu
7xXO6W7M+w60foJla1Y556tF87ieezvqk5ORxlJASC8MbCWU8EpoxXloyze0rYj3qi0QoqZ10Iuk
z9xeNMkdCQhqHmCwMM1AEfbZos6XckdQkmzi98BjSyO8lq8jOnlh0+LyBOvcRA6WZ5VEIPPSSK19
mC/bbCQOR146f+yjm94uzidn3KqTCp5YHj294JsXpASkxrDXi/Qew++NVRGbxlyDXG16a223m4bo
BgvWaSuS67YYHpKePuAEHzjN49ozwV0QSaRtp5GAOw7S6uqrPDUx+Bz4ylOiftK3lK1zbLk2aY6M
QNOEsSOfj/KTnXwxnkhmCsI1Naof8jPOzlc4ner9TBDAqSbhMh/ESyl1QdHdtANeEadxLqM49Wu2
qbJeTlpTuZOdVMBeTbdd0u6Ip6ZUoeRPuuypGLDESRa7YT8zT2lqWq4R5BaJIKpmFs9OqFSBXAh/
MZejkBkM0VZRmWRUneRXykSNZLxotWxiTEqvlyg+F4p+37QY0A3lLm9kJZDVedOUa8xkJh1D2dmm
RUnQEMUNjL6XMSQzE8LIqRPNwgUhdMhz/pniHEQ/9K5oi70dDafjiqLViyWYJk07sSoDNqstcnWj
oI2hnSiVxVUsI23BXxg9psRPlEZKB9iQ32nv7LJkfOwcsRHOGEDX2aaa/dQDMS8GgtTx0/iaMhAa
qO3aqH6YrbWiXeePQjdPbXW4spUGI8Yk8Di32kMytHsBYDaXxhCGvH6pwYwGAXWpUrJ48zKeGaOg
PjPKbVhSRMEh3OFb2yZ2dp+q2Wkkd7cWNGg3T+WrPtZ9tc7PYiqBTB7us0K/bhO+i6IeX/WCR01u
z0iSZxJcDPtopq2NxXyXq82hcdQrbpKTaqDHF7f9eRfi/bII6h6G8aFQGxD6er4ZO/miysWBWKOD
RGXhNkLa67O+k8HH9eSaFovYCRjRzpKdYsrd9vly2Y8ZioyiASHRHqaaW9Zm+lZ0+S3Bn08ZqHu9
MfZ9q791en3COWavaPHd2CXXht3doBnPKV3DzWjEe2u0XzIIDkoxkCdfVPtQJUW7L0/KReUJUwSg
4+yQgIKYcu2aGQA5LASBKlUje6kp07hMNmVdnxtEWSWW/f5PbfJnbUKt8Flt0pbP7Ze/DLxYVVnf
6hNF/0PR1ipjBdJ+rSe+iyUU6w+bTgyiCCAwf/JfvoklDH5CEYLzhLArE/TefwdU2h8oL5DCUKFQ
9KzB038j9ALAyIcCBQXCGhGI0wW5hKrJHwZUzmRItcPtd5QyW/WNseiBQ8za3hyBSo6txs3UNz3k
WXOWLMuLsgU9RCiaLr2d0yylNIdJfyxbVffLhngumRpYHi8nYWOEHBDMtbEfTc0ClX3KR2BSGI9s
m+ROjYAiWBaW0ix7Ggpt1G37Wsrja7snvLU14CS5pWTJhDtHS3pTVOzhjPpT1cszmTgDBboreUBp
vKnrHMUVyrId2TM0xY3BuisVwODYgvvxri7wZaJ6qpfZ00uG5J7UNaWXabV9oWVjzbSiSR8lozZ2
uJd7nMNjHjKYVyLbpSGfnAEMg0hfhEsReXZihp5TqfsykguP08dwJktWcbTMcrwqkMgFLQQC3Uus
ctwNUmggb2jsJ5Wj2eI5vVMt7FaDienQTrCgpoiWr+jzk+K+9EWyI5p0eS1UiSz4SJ+70ptlNkF1
MzhGylha14as2tuj1m+Nli+k85NJGh/7pFUUWg50b/SUVIkyoOHDwC5gjVjG2p2FtizOzok4nUPT
b6OthY7lsmvH9Im5X3fpWJ1F4rSpoG1ACXdTrGZWravFBQOuwboopWiUg6iTSTaNwmpo9rGqDJxB
EzV9zJD03UzOkA+URgM0NVHKSb6TtbK3XMmuw3TfUL1NJ4VFDsabKezozQE7sB16LdzkSVw1buJg
++skkpQLqbUYRyTdQ6wpdXveMMZni+r/OVX9KVZlPfjNyvU4vDz/2j5ef+fberWKuzgqQeRd+Q/a
qn39QdzFYsQZC5Epwn7rB3GXQ8abg+zLQhj2Yb2y/3CQvAJ3/c9h62+Juwj2+bBe8RoQFzjXWayO
ACq49B9F/nnf9vJUTfJ5n1YPoVPSGsw06aDCp2Fcq9SXBlSDHcWzc1wzwTZVhbW47/STtiKmSpQT
NxspdqdtuwyubmdrmWqikSFFwJ7qs3aRvHqUmYLZr8pILa8WAgnOEFLDib3DQCSxatmvE1h4HQPk
0kF3hVDpVjBG0UHb3TRRhJiHEQs3+qEa6ttWQaCi4z2Gote85utcplonNLQUd9M6s4mWKi4vCQcm
AEHXLyTNPISmcIJeyCHRxRK2Q2UFLOTNxRz2z9YQvYYFKcsIhngo57rZ26XD7KySrnrK/gsHdpZb
mDEPs0YfKaQk80NCE8HpUeaXId3hSW+D1tG+dIl5GRvN0e5pkdZx9pCo2k1fObUvpepbjZYlCJfo
th0BMjfdfjBpIBaLsgNt/EWWs3LNwIEMM12WcrrSOx6LMjqki3OjpLXlGgtcwFaVb9AXM/LnS+hj
GIZ0ZErMm8bzPHSIn6zuwab569IkUtzGMH2hyxd2risgppLLxBkVVyqAWpzMM6inuSQUp61PZLM8
2ktyGOcq2mtpdzWY5K9Mhox4vy06zzJJJDBzLN517ltLhrpMkgaMnI6KYsJhtyB9uuJ0APfRPnfU
et7mxJK6o5nuCYxzsI60b2oDIZIGY3QpMQ/jLGIw+hqzYzOr73llzIRxmzA541R1jmjUaAKViOfC
DFgFxuFsU+ZMnYkRP49JYvPk3D4XUkXWuunIEEMqqF3/n73z2I7jSLPwq8wLJE+aSLec8gaFKniA
mzwgCKb3LjKffr4AxRYpqTVHe/Wumw0UUKgMc/977ycsDnHloW/M64rmn2VvYaoFWARmHY76wrAJ
20vK7Aej/+xU0WOaUlncAEbhWgoa3oQ+gDUYglOhIErt/OhCPjKC8kseBtse//hBFNqN4VXfREQl
TSS3fS29ZZE6zVLvGvZ5BuGVkx8ksBoRWufJSM9sM3LpZzRz6mXypI/Bg51zD8D+QSWX5jJ6CekV
Mkwo2iadJF4PR77OuY/p+m0+dQd9jLd1mtzGMXbCPnsZ9eYLhqpyaaQG4fsWtFST9jj9RpwdenGy
Pd5cW2gHBEQSEDpGkB7j3aoI3Su9Nt48WsFWbTc9VZDGF4NBgBNcy6LsEGVVhU6KyrwcCv16zMYv
Ee81SmZFD6MT14vSrJ6tojr5GEscr9wkkdXSHhO8dfq4cZuagrRsrJfSpa00pU5dTlB5Jh+bSjHZ
X1Uj5libGNy85KoOGnMZV3m6pKaNhpP2s5egQDJVNdL50aAfip8PV7nAVj36p0YW2YofeBXOw4jv
LyUIL2HAz/pt61ufp86vzqGIgD5KTR60dNL2ZT4iNQzx1ZDWd+TS36MqvfWcAlI7Bj7UbSto94HL
d5mbyN7lrlhTC9evEkvL9nlu3iS6WSwYujnUorQzhhM4IMQVcaUjB1AB655p4Mz48cpsBdOKvpNQ
3qDp0x9p628eHprvMcB/rdSqiPjvbwir+D38Kyc1X/hjszWcT7pnMC743pRssKP+2Gy5HDBy9Yif
2wxKP/bhH5cD6xO6opI1f9c1f8xqzU8ooZZF/kNA5P6H6uVfpUmERfuj6pPk6MsU49fNNuZ03UZZ
Z50Mz2F0QXtWR9lI79jpIY85JJpLY5hd5n5Cr0y5ooBivuuxXdHnhL7SJ+5rGgF37sj/6fXnxM0M
4zIaLTXMycC+tWiHwj/nPMeH0OqzeF93k3kPo0+z90arN9rC97XunAdWcEgnR6d3Ad6qcRe7fibo
c5iz9s0vQmc8NVbV2DfIntvBKbL3YKiZuhZxjxwocK9t9YTiWr/24uG2q6duL2j2wls046JYByoO
MwuXLcitI/1oqrhMU9eJz3JOfXIkfYpq6qZb07IVH+1uEldBMFdoCeCfXvu2YKcVdYArxRUoP+QR
+ktksr1NxWc3Dd8SB5XGFX6+rBz7veryd8cvYWoNeS2+AvlZejr7YR2O+2LW7U2Xaj198aGzGEwd
P/qY9gaVxyOzJ3SfJ0OLKyonx+BNxs6wa63C3EdaQMlLamLqMxrcaXUv93NV1VthE8FpBo7PeUr9
iO0x9mP6gtcMkyB/3GrlkKFoxzZYeV1+9HpWeDto3BOy9bxPBWPLmPqfhfCjrRuzWDahyXBy8hJy
MwRG3CJdVZ7/7olI23rDvMsMRBciQdspwLOlkWDG/tQwIBLyWQB9WqXjTOuTY29Lw2cx7KjHi5rx
OrVkB7SM8Z+f2XLV0IW1TrTKPNNYnd4RS7JuAYMX74kumkNex8VTMsDfws4EOmtIjh8P67+rlvW3
hls1czm9du9/tWr97Lk11aoFXAfojad/BN1+rFomC5DJiNeG6cx1QGdQ82PVcj8hW5iKrelAOGJV
+13ScD9RME+qxzaY39A2/48kDbUm/TJxgTRtMtyhK4010vyjoEHhU1/nzjSe9fLSAE+jGmz101KO
mvenTrZfXsGzUYgcPqG6zW+oDMTK8/tTzpghcWr1Li2drUgOsfuo6WffvmnFzggu44Cs/93+/V9L
v8w/pPr+/Iq8dz+/ookkHiNc9OcEm+cCPGbnL8C7m7gTw7Kllq/0DkNHzbWT4tdrnY2T4NqoA/rc
MCR2LhmUwvksTd/cOxYS58RYe2W0JS44L7qyS4wrnpkuq0bHgZl+86X2rJgMpWEK4hJYMpOQUsaC
8jM6ayMGBNTe4uiMw50g/N6C3dvYlKiQYIvLbTBJusHw5i3chokza1pDKCTmIfaWVR/fesNw9G2r
XLjxcKXVAX+lBERTgJWzHruVmKhzo2swoLt+Af1xV5bGZcCwh5K2L3RGN2kSHktMs72lPTRYChZD
8XmYrYt0o93gzu3a6Npt3OHEqLxDFNtyETnluNGqpgUXMJ0olZrv3A7NCZkJkeWuZDq/c+oKOaao
d7UTad3NXAn+hz5vZHnOQnHVMX8A0zwjEtElu8p7q0aY9a4cdh9N5FdMWvYyZSfyA9r10utpdp6I
emCmQMBY4NfaNKANYZZ/zTCUrEdbnGQlDrhqV0NaXXXBuMZIvJ+s+KLjjS6CGm2HDuBJXoE2K1fd
nOvL0B6P7aA/1ZAKhGCalhfzg50xkQ7yCbZqX1yKtKOlnQV1Tg860POFrBxCCR22HQ7+FLdzqcUS
kq3bxH1gv2XWounhxsyrft/3Y8e83MSDFdfTVTaVdO155jHLv/raeBaRd9v23C0NzgSLKKJ7psoP
QRZf+kK7Gwfsosjki1KN1GMfAbz76kbsNYaT3JjhuPb7vMeoaqxoO1yJZLrp+hLVpyJaMort2Awb
nQ2ic/C4G/qqLMu7uRCXPKjr5SgZyHRZOtzKKbp1AmOPPX3lVd6zSAsO73ZzTxcYU9S4+VYwdMwD
HzMAw6uZO7qg5x738Ls+hseid1a14JjLCrY3c8XTtuK1o41cmsIL6OqTsBN61vOt1O11RvtYL4Nj
28KAtZEK5o5Uq3YNq2JlMghgobiZGMMxZwSKaolgQ4TpUTQtVnsNYm/KhBJw4LRLRwgHTUbAJw5J
YE7aIW3newQ2wmJZdx035V0yYGtKuOz2JJuWvWe++n3ymrjeqawzqoETWBAMTiaMPSNhoGDwdv9u
eh9ivtKQ/vtR/X+zKi7e/yyKqa/6zzkdDyS4E0exxD6ck7+f000CKLgj+Y+ACGgqpf7HjofypdLY
Orq/95te9uOc7n0i8aA0fIRO/6Pf/Z+I+B+Jxl/2PLwMrs8P6BFdIbfCPeLn/SFs3DFhKpedNaN+
CWP08xnHljHZ+8zIEWk4lVLEu8aDsNBhL85WeOVP9fXokXEIxpwpljrb9XihG7c3N6Gtb3T6FkdG
Z2vPLfvlEE5XehesHBgVi9joHmPPrJaZkTGphHQ6aM0uS9vXXLFXEP2/st63y0pDMA9teZTe8JVD
bL3knj+tdKIbzjRQhjwV85rIQbaCfayGoX23dMk2L8mXOcuuLKZNUU4Xk7MoJYfZsZc2W0PYPXNW
lKsWEGWpOweUR7wHEgplOLS45ZiA2RHaHpP2y+wbTwMC1iLxlMst4jHPXBT+xEnwuIeYC3J0EgoA
93CUN5NbBggZtCKbo3yco/DUucWxCqpjxO9ESgCLVW6at2Ocrkid5+u0ME+BYd4HPMMbHNr5AmcJ
61RLrrJKNe7rwtrl1kSm1KuePLvRlg78ZCgtNheU8A6UbfVZr8fHaRbjsfPac2WxdWUG3asJ0CgZ
Dvu4SLd5NToL0dvlQowTlVlWYGLZ8yBomI9W3VqLPh7PVMM6a9SheWXac7iefYqlw8anS6Psby0t
+mpnQYkvA6xnn6ZHyjk7+Vr500ZUzms7WeWWkvEtfkkIntWYl48UCBR3uPWq9D0O56+jjG5nizuY
21c4KYCPet5rYyTXAZ/vvd4V+k52Znk2m8A/C4igh4kIn/DpjhxdZ9c1EyXkkU5fGgm9ayuZsSbE
CB6gt9wn/FUrN86jkyXL93oezJ1ehqr6l3DC/K/0/136F8zu/vs69x1Mscz+GkvBl/5Y7JgAmJzv
mS+qThKVgPuPKMHxHs8UAW3LRhD4ZbGjF8MDgsjJ/rvxHKPTj8XO+YSMYZm+g+X8+0jhHyx2f4GN
8JQPSseKzqJLbPwPh2HXCI0sa2w+aR4dDiRbUCFGQJ8Sw/TClKFBkWy6ybDRFHnBvNEvopcci03O
KNxjQl9ivXEZYSW2dp41XJk0jC+zxC2v4AiXZ44QjxMGHs9H5/dalVnWuvWAycdpAjhQHY3BH96f
MnFvZGixujRzUulQHhy9XHn2qK8NqV+DEhpwBYhhG6G0LVObw1ehdxGcKWrmk6aiHnlaGR6PalDi
0tFtxhbOmK+0QFzLqWKpm/CGkqOgn1UteMOgPwxGt3JJGY0mLaadL2iA1VmV7MZ+c/g9kQn5vrWv
BNSB+LMuR+zhRfLmkztfTwGKcp8jGWdTtOdsFeyzihMQVMR1WWj6ljU/O9q2Nl4FMZoGGRXaMZvk
gc2B1pCso2QQAATJ7aWtDKzjjAXC6e+buMYxm9YPjhueqxorEjacKyGJGll10GNCK/pVoVGUi7IP
GFrlwNO6P1VVAjNrKrMNvfpkmO2DXZiPeTLc+thG2ZjI1szUNbsWDKMpjb8OhnUKi/l6NqGR9y7a
OdD556zD9tSXCtlTXfWRB86J3CeT6n6pzagKZRogkpeJtai6xFplprNPOucmDSaKZ0ew6ybLZY28
ukGcf6tN8oim3l6bFnb0WtuWeg4qKT5z/TpaqPNLyoOO9cBnJujbSx073cJLeWv0YerXQhE4inDZ
Jv22rq2Ta0fphqmvtqyHpESdoQi40rZNol1SWbanGUWNvx5Mod5zbk3HPPlUea+bidI0kQvagVM2
NqucqdwQXbtOUt0lQBSs27Bl5iqjzZAUp1AEn6ca/nmmeduwtZyV3emPokZys0CbG1mymurOoQ46
vAlH48qQtEaH8rpu/a+I8Jj4hpb3sHX2Yc0MZnbsq65vzzENzdpNWbrZ/D7JDFp7rmAn1SO++Zoc
AoQliEqngoryQ9L5L2WKI8duvnrVhF5Gm8gcbrh3YqYaD36nbRrdPJZZdB2X5UEm7TUI78tQAHag
t5r4etCPeyewv82O1nPjHBkFxD0tv5iZh/nOdOZTWHODM+jf35Aal4vRcnhdsa0y/Ibq3gdzA3O6
dWnsl1bdC/Pefyi4kUAIODZmwyWzs/cjV8mwmi/9bO6CIQagafc3LHYEXruVCUtpocU0nARcTK22
u8LVUeKW6hjlxbeu4ap6iLuZxCV+ZG63kbrnmg1wJZG7xdYPDS566j5scTGmKSXc1equbKpbc6nu
z1rPJ6eoDMwN6nadc832uG67ovhWcv3O1T2cpprHGQXVNmDBSXVXt9WtXW8Cd+Em1RcPY8EVELxT
LInkTbp+yUvck71bG2cc0O8W0La1Po/vfUtymEPZLbEPKDDF8BmoyaYW+vMUuyeCrRsKxIEZoAws
PdEKfNfhU8EsH5mOu4o3bYegXOlVc/Hj7KjjSpzVdc2ug+vEpTcidtIdxzT/gGL74DEk5ZVhUPji
3tBtEzAFSdG5NioMiolc15p5kjwGF7f0b7l472QmiC9mdCK7mbkwq4QqrpJIm+124G44H3RpK5Z+
XL9GNeHJbiLF6GTZGr/Et9B/iyv3tu2s25T3hH3AYL5RZNwSvQsNGxs9IssaDCnI8ICJ3zCPSKlD
so1qkDRxkqGgdKDG+HaeR5LPVmx3O7xmlpdiY4iHo9CMYs0fdNrZNLurYY6RV5hZGCiveq/Y+RJO
BnfzcM88ehlouBasY4SYj+XD/YylMt6zHIM2Zx4UQrLXovrOjAk0z1OzDCOnX0uKLBZ+2L7BrIhx
pVhbdE8MInXN9BHvo2lWQOjlldDbhDKEetuDeLPT6nosYRlXxngOO3mrT+UaJsS0weVzLGt/BxZt
hP4y9ZuxN99Tv5eL1nVv8sglNqrMo//eGz/ujYJr1P97nkIs//PdUX3lT8cpG18N1V8OJyDvF4O6
SQ8BfmwMWD8uiD/uju4n5CxP0R8443BLRGP86TiF9kh8Rg1kPsoL/sFxipvqL2om38nTqR8jQsaZ
Dm76HwGbfqDRM+951bmQcbkBoNeQmqc/JZPFU9xYhMMTJJ+W8l/2eNKhs93ta9v4NrAxLso8Hw8j
EyLyeXBCOr3fhWW4phIB8lGDvlgWVNWrWEfiJl/GoMHXzdUHxQ5DZEa+fe3mtkcR7ORfojp/sBvM
v/VoTXzM5ytqUB/CsCO9Gz8FiXXPNlycXWVzLpXhuVfWZ10a8SHHDR0Iolip79+wG0MR5pOPD73f
hBR23TPP36FmH5NKThtdFmutlbccVCAB8iBlWn098GSFot7a6lEbeOZyt7mL1EPYTOWpVY9l2Fnb
VPcj+gvat0k9usQLh7WrHmeL5zqMmdlyn8JcwQCYCX7bNPF+YC0wjMhFwhqpI1W5qJlOv4+1QxK0
U6uJpKN/lTWqlme+DT5WHLX2uGoVymI8GzkLE6S/g69WqoQla2bpStQaFqvVjCVpO6r1rVYrnabW
PEOtfj01Xj3LoaXWRYsFMlMrJU7dW9wZt2X71WQhdfl2vVpZY7XGRkb7GuGeoV+H9VewECdqRbbU
2mw5mPHVaj2pddthAfdYyJm+lJc6N061WuMZ11cQn1RDgNoBZtO8F2pPSAd/5bFJVGq34CxE+wT7
h8NGoqsdBezlJmCLacvuMrLldBlXUbagUu1Fhh0/+Wp3KtQ+Fagdy2frmtnCpnp6NtnSOCJ85m5c
7XNruOUwg+jI9scrSxJq2fugdkaKkaxFbUyw19g1A7ZPX+2jg9V8MdTOimvG3MdKKI+03F3XSBHw
W4uW3o0ZcBDCepMM1XU4aO6hUrK7/FDg3Q813qpqDdOux+EHp8qAUOEF7qap5E6Z3CbboigpaF58
gbcZCBi6ecVLkOSrepCMI3W1vc1b7OHa0PJofrCq0lgIcxqXVuXeebVz7IzpPYvqdGWk9m0WROHR
mYf1nA/XZjSuDD+h/dYRs2J/fE3myt93pftVutROWB4ufXvwWzzn7Q1YK97i5hSgXq/cZqwOpcuh
FrYE/FSxDstZ8An3iHHIia+QIFsJP02AHYJvWRVcwDP15NU7/TxEPYzLnvBpMGfH2sSNNOtOvQvR
IDSAYm5QHMbExKQYmC8JqbyFQ43AVSQ04HpjY7/repDel7qodtngTRosjYj81b+708fupLaEv92d
/ueqj9v/OX+J2+qvBnp8+Y8tChAl8SnbYHCmexSwMVL7z0DP+GQx5MOH56PLcYH/Xd60P+HAo4KC
f+BGbqt41Y8tSnDjV7NBwNG/mRf+wRb1p4Eee6aHE0JgQ2Hf+HAw/zRua0zL5krD1TKkDLE1j7H4
/8gZdNT8sgmqfdazaKbjAWWM4/FL/Sqg5kapc/GiDj1M3T3ze38jTfa9jZvLk7TIhdLKMbXbmcWO
YUFFFsnoPPvOpCuDKz/1Kie3cX1Ic2FQn/pG8+olEyKnPjmOpsu1IAcWco42SE+16ANlNeoQ1aI8
Xzea0LcSg/S2KUNzPYI92DaRqNdAKpOt5VQEggfnkrhFuK3gG6/6kkq2GBCuSTdbCf6tyMe5vCua
OfqW43feWAYFl8nSI0wMjm8SZsJMnf+2NipqJtaRyHXrjjoUQiVVLeubjvQkV3gaZ4H6Qb6Jnq3K
OEYygijA1rhIfSLeQ70lLXY19o6xcDvtuo+GRzu17mu/vWvYqsNieHRstGbPqbkvxeKqblhMRH0V
gXQ3wjDdGw20v1A6xxH2lKdjZxrCckv/mQ7NiuoV6HYkTl6qJEGOyVxlPqvPsACTHcrGVS8pRnbS
ifYKOnZEwErnZQahXpxMk++vJzJTC0jXJtu4BYpTSntLz8B8rKfqOATaVubpruNqt80zu1nF1ozv
slrXY3yCgGOtA0vUMHGq7Tw3+6CJb5WwvU0Ku1iFwHmaGW04pNmnaCXWyQigX9MdI4v0p4Za/TYN
abucGkg4OGQ3suKjysGEIR1qswaqmfKWvazq0wjlY2EkEW8rxguOhUOyCBP7zhYIu5YU/a4tgMrR
+UGkPxB4IqbuVDuDRvdfsx+oDES/0t+F03+lRNTbkuPKj5afk7aLUju+qQovXxlSxDYjL3IgrqEd
fDwz29bT31IN2cehFdBwHzoMG1kUOEyTG5pHuMlYtGTn3s1QFBufkrmkQWUwtGXuQP4mLLT1xs5c
1RZvvF24u1Yfngzl76wwO1LL85kcwKnUOQnGjTzYmX6Z+aaDQUzIi/DEGfQAaK9mCy5dk3tq/K6s
QNv57qMMPpfefHBzwNN2gvjs2g/1TBf3IL8MeHL6jsu3yFO4qNMlDBJjaZkp2ePUf8lC88VCwFw1
iBq+QHcZxbmOdlBroyUzACYBc71xI+0eqNyDABsjw1Su7Ci8iAHxn24DDOdDfOzKdI+bgcPtYDxW
WnTvefmDVgG1KjAJhtU305WH2tcOUurUKiTOAXfQNnOyfuG57QoiGyG3XnS3YkwO/H6KSvOZPkhk
KytD2ytJ+Zmcoa5zIdMdZDHzpRw997n1SqQfOU3BQ65AljJwYSvKzKAIIeAkF3fRqv6OviRhHHUT
RksTVNmoEJlDZcfXvZiJbmYfDM2+UjzNkFB6iQZId6OngJuzQm9GtvOotaazHqByBlEVrKnRYFIh
/JYPM9wzxKvsCPyQgY1p33Y6M3urBvYZDmA/DfifQ0ktowKCJlw+QXcCCU198ewADeUvv6p7mmFc
CVDUszLnFCjIqJwrhvVO+UWE1OU61CrxyBG/FPa9riClbTKl2xBuaaIAppMimXbllx6yaULrhZeY
sOZgngbYii0YqKDwiHkkuyHpvnFuOWf2nGxCoGYLa8xezKTfRPBUS84R/Qdg1WCkhYbIgbctyJaT
HGzhsU5MYxL4rEltfs2dTm4ryK1JMbwM9EPYCpg1x/3ntqN4C9ZrnWKzhv1qwIC1++LJVlBYYAl3
MpuuCmixXY3OpI3JUxhN+3jkEZXyNMCXDRVoVs+c2w7yLFWPLxISbUlFmQeZdkRGNMYS88g8bAbh
s1hgbeavQRtT+nlWeFsfzq1QwFup0LcdDNxQwXAjhcVNQLVS0cs7qJC5YeHe10N86CynW7ax/sJO
cKwVZleLi0uswLtlEj7ZCsVLHm5nw+ZluaHOQJ4sBe1FGLjyoPg20HwN2pT8auBEVy4rLz1zc92R
qlu0CgOcm+mr5mkre4x3fUZHUt0HrzrkYGHgVlAoYbhLBwFbuFWQ4US0hwTqcGM7nwMybMPELL4b
7gLhrkhMzxt6V0sIq9GFDrlvgUIZTwTZdIFUa0I59qEd11CPoXoQ+oeDPIRDvfMUGhluJd0n5lUP
M9kJyqOuIMqmwikXuW5AHBbjhTwCKCmFXU695rnQI7C2unfWFZp5LOpa8eEBqStwM7fjtxidjmJM
oM5jhQUhwW+znqgSYKwP/FnSkbkyP4jQ42SegBAF37N0/9Xl8+s9XB1BvnMeOYVQ2GA4nLR+nuFy
qjewEgfadZI8OOlj6n8R9j/tUP7DS6iT1k8nqYlPsZPSs3mt11Rou+e+Osvk8tMx8y/MUSp/8fso
+sev4eiYVw2LXP4ffg2TxkAo9HF41hlieu4ZRq2U94Bx//5l1JDnjy+DXmGqqbyp0nO//iphmUyW
mw5wJIi11jDyWpPnsH7oxWXEQ+G0Dbrud4LWv65AwR/pb64S0Wvb/UVqSH3VjxsEM0MiPvSvIpDr
vuvwqfjPDcL6pKu2J8G/CHx5HK1/E7mE8YnCKfQtpXThDVSXi99uEPRRkX22fkPc8+X/qHTKVn1Y
P31clFVPoLOhmPGJxMLho8/9/Mk31YtXWZ1ddCQQogY94EYxPnKkDbddrZ2riA0PxfaUZpj9m8nb
1ROlJxjiybdL7x3xn+XIv8dtlC0Lo/ZU60pF9AIRyLN2XtZvnC5Y07+yG5nO5DlYy5H1xLKMl9Ym
8QEzmONdtG4lYrabnKauf3eTaD361rrT4HNPRoWCIt4crgPhRPWb1Zb0BcZ5v0uqZtf4/rHldFSa
9mY2kzXVuBHpkOHKMcsHF9fhaEK+nRoRb6PZfM0aukN1/TnSB3vjBkHPUR+OcgPEdYnrPKL9pT3Y
ktuCh72hMzmJWck6jZK7YKCSmZg4cNWKWA8lDIvWqzajk+u7nB/uaLkm8Ghv5I5fGAXRHPfsW9lX
Opaq7WRSoRWHTC20KbhvshLFoJcrvRg1dInklApoADEWYiqKqmxJQam9dGU5UenjrWlQOkR2x3l7
zB6YI2n4fAuU9vImajgvF55/MOBvL1y7O/mFeV8zNDI7eYPVUFv36hjEyrPVZ++boaljuVncyIiR
sPD8lyQxbqe2QuIIYJFSqpMvJ8e6n/P4JS3q1ZghDZEwZ4OM4ytGzsek1r+17ezsklmSMY/7aU2l
FtnQwLqhSPYpSvj5wwlWwYxisnQqsesdDkZVYQnaBPr3Mkn3kCxXY9gsRIynZOoMRq0xr6PLFjiV
XyCORs/0dt/KRshl6VX41ax+G4aUPtVFNy06ALyrka4Z4Lqdz/ghFdu87M9l6XESCfi7t0w9DVkv
9Lx6Mfr4qkviqyb2470WGlwvHDQ2YVKj5LeTucw1q1skXbUNrPIa0/pVTQQV9bOlprSNr/WkfKmT
Ot7UGTeHPm5Wkq5GgmjE5gZESCMbdrWhX0wTa489Kq85Pvmw37dF9dBrw7ZsC9Lo5YbqEJ86IxxA
YTv4VAES83EyUN+ePjxzuHlvB3OpJXI7xtXE2asmRucoVja/1eReynrslqk/3Hlptun0Qw2MZTgF
WryZdH8fyuJs2MXFHACh2/NZI/e1GiaqJ5QK3fdMUssID8yMN8BBKuUDGgdLcmtYe3BjlgXfFEpm
taTHPucsih8w14dvUSrTlcwtuOvKlGel7ReZEEUrvW9uInso3TUduL3vb43C3kcGx6aZSgVmNDg2
F+Tv5JZzP8q3tIIlpV7jxtc8RoHcMkIZdYcySJNNPoivvc3Rso/Sr6U1PBOLfqMaJVkTyqFg1hov
U89MHP/8sJw6p4NnZQ7WkpOn2RyxQHVH1h5VGEe4LpZ1bVL51O3tAh/jxuL4bz8Meup524h6+W0v
popnqS5ocHJlM6+9PpTG2is0QRhuMC1vJ2BpVIvGop78mhKIqb/z9dzo7ka/0Sz8Vj1MPpuqkWe6
6szhnHbVrgzRkasEA2kpUrGJYztc1PRTGU1429L3suxSeRCi6DeN1sitpzlH25WUvyA70WblvNXU
u3H5dShESMRzqtF9Fw3cgg19dg5WyYc5Lbx0wf+d1JJdfq4C8UoDi7nqvCRfAKf/1vkRQ0b6WJgM
j9zidPrSmo6q8CmVp6lqVzL2IXNV2kkUzY0W9MfcKz8z6qXNwkKHx4jU4tBgCmxny9aSB47utk5R
LU6y1zgFjKE6ejqT+ir8LAjD3XinmxidWv9KS6aXLDK/zYbOdwntb+mQP5J3XmnzwZwkTZ421+mw
uU2VGwW/E9e5laSXI3JPeprpK1+Wr4Al9xHdEEuCXyS1aG9Y8GG8dlzVIGz7DDU07QapzlyNrj3j
A+5Psz5hmpbBkneh2rkF4/WW2/bWEgNrOw37oHjd9czoGe1Au+/S1WyHT2ZDysUTCZxDjfGMl/oj
L970AFf8nYU7bjnDSFhZY8zV2cPpnMtqXFMrd1V51POjTkA2N9xzPBYnhpoQBqrg7KNgtHmLzNu9
Ov44rUlE3k0oRYjRDHoCnw2E+pCHoKd7rx+LJww3h0RL+Rn7+RnufUS5viP4DFCZTs4J02HZvbe+
/8ACvdGr7CrNo25hhtYOSNkDV5utFrsSD6K+ZzR0Gbzq1rfLLzEbHQKHfi10BAKb54665GAbzEaz
tPVmH2oDW0I3hgt6mRLkkXTv25NSnYpl4pn1trXjcRmL9pzG/cX33E1hdo9DbuyqtEal700+gL2Q
61SHhqMbXo35IYBOFfKvLlOPlZMO20LTjK3DeH/f8YYuiUud9apNOPp2h5446KJ2GI+38iFTXOqp
ZBNkydpo8RxutdE4ZrATltOITN/wpB1Dw7w4RkdfYUs+ClNdvp9NatVgGlPthp1mmbgWdOb4EvXJ
o4ZLbqMVOItY5Fjg7HE341BcMPS7mMR+QEFTsuyU8q0owyfQiLT/u2+Azt+ko2+qlurFNHym3s1Z
dVa8D/LqWS+9nSWauxHfN8hsxJYpJbkaHc1mfA0JWPWu+e6nJLb6+GY2XNpyO/2uEGoR12y6e5to
+XHa/PfYLbgC/s2xmwaheCr7v5gu83U/HbwFcjbsKHpETFtRVX46eFMcgjKP6RQklJoX/Dh4E+CB
D2XrnNeYSlPC8fPB+8PFjNwuKB5XgKt/IN2DcPnTwZuRN55pqkXoFLD/6Ew28Ej1KSHpi2x0HrBB
jFQ0CjLaYtxFLivRMMEs6fVRh9to60c9yzlUOrGb7oG3lM8xRtITqj0WBsuq7xIWjp0t+/Z6TIPq
a9WhtLgZgdkoc6n9YXRKxTtZBebRHAIvbZN35zpJxIumO93GCIDFLHmSstVcBMV1GlY+Da3RLe4m
+xwaaKVmGI3bmbTjQ+dN9ks2MAYeTbs/dW3k7gG5U1bh9lq6MWyYKVavE4SwWvO9tPvs2dazYhfa
rb8qqqB9HeAVrKl8itdu449bNxmbI7p5dTMyq8soccLGFFargdInqqG0QgxvZRtG4mgUwTzJDapk
v0VjJQcsQj+JrikkIsFeB23RnN2I46IbGjK6ixKfVX7sWwpgWYTc8dqjtBT9nHSxFNRsIjUWi2yo
RqQbThHx0dEKjsvEI6cvyWDWlKpRseaTF3pxxsx6pekFrzF7U7HBp2Ifpt6Z7rqx/D/2zqy5bWPd
or8IKTSGBvBKcBYpah78gpJsGfM849ff1fKJj5Obk6q85y2xTUsWwe5v2Hvt5U1JMkEIGLEOeBT8
YRxCNw2qIXznSYp9vViWt6CNlg8ZTy+NVm+LMD5qDuvgXFDTjDY0J60aQzadop93KRNHjrxuPqXl
VKFa8/DpT3nJNDsew3jb5p2JnnHIKazT+tlyYrb1nng0OaD3lcYUI9LHYWW7TQfktpX3blTlh07r
vEd4ePIa56a+zo0Suz28gfIhaPWc6jPz3jVn1I5mBqGkmvIL7lBt3XTDtBs0pAGbMavrbj0FcfXd
0cr2MFdBAZTXbakTFvkl5NxbL56TPE6UdScnsYAfUCC+ioAQlXFRo8Z0KV+XftKueHhD33SK8YKJ
Knhxl3x8LJKGpXs5YYqKp+omGmCDF/CAsnVhWUPLtI0QsQGIS0fDaLdr3Fcj7J3Clntj4PiViOIy
SF7TaN7OsnGhVJZSfEAQWLa1sqJ4nO3g3lz7323qf7TTTCz+5iwus7fiL5aoFq/65STmkAVI4uAS
YYTHmfrzJDZ+gxRMNCwCaWLM1G/9rvNxMWx7giqHHSpcE5051+9LVPc3HXUQO0/TwuttspX9Jyex
+8eJGSMQ/OIKG6WbBscw3KQ/jkAsN08aapr54nZhc4OIOL+D3+i8lJllHOcxTV9n0Tlbtxv0M0qK
AMXcEKG9GGBKeGN3H+llxnJMcHqQMrJxtK7ZFHEdsWXQr7Ms8s6DysuxVXIOBg1eP2AeXZPx4270
EiGERgM/GUAk2y7q9qIy068xPDR2bGOw1mfGyQ1JXF/yKAqPOPIWUpm6ZI2qAKoi+iSGG/OTZ9R+
pE6oIHeO7CJdDkltvCpURlBTjpM/qdygKdMvWDRxSsRp6nuyxvtBzBCTRIUZNjsWm8mi6tsk+ahm
MVq3XcHsd1lCmr3qNZrCAFH2AHMPYWtJVTclRXowFo9IDmaSN6EIX/R0Psa92WCfKGDO1CQi6Z22
62S4wOjvzWMU6c4mQ1AtNMgp2BG9Nf5ma5dmhbUZDCPYSzG4K/qn9Fjj8ICmO9wuTYJuNgPR0GuE
Q2g2LuiUhA0j9K4Tk6N3mPnpaD13VjxW5pooLHFpQXGvZ2esDnXUHnsj+VJXDsgKAgaVaTLZiBDK
XFgvnY8xPtpQdjbrTEv1bSDFPrG01azBLpnsYZd3acAQvq/ehjJMzlNnfWgphBPm4kzqbRQjIwMw
DJj3JJ3cEkVjrtJp2hlD9mR8RmFYHnka6McuQy1uSsN90sPWYXyBFhKB+cQpjMmeMJGKryNlCq1r
sEIiWmjInSK/ak3xYdtlv23leD8gKWOuS25OqhdIZXP94oTevsjL3WDap2TyzuzRd5HADblkIQjy
QELIQaQaxpd8ibuV7IiUsTA5LfZ8tmmHceU8Ym7g/p8sEJ8Qq5Y++JIbzbtJiMfai9yvkEB2oF0e
awS2UNcrjD8VITldAVfvuk6RNvnMpPuvlquWOKbNai8op5M3cuejZovTk5A1hU0/0/ZUXmCuHYjQ
p1Aa8eHfwviH8JJp/t8dxii1/moezat+HsYoKy0HfzZ7JEJVlUfk52FscuQCsJLA7ihJmSz/chi7
cHopfR2hzCUWf+Evh7HDwQkHQ2k4derYf3AYM0b5Q1msDN2kLTASV5Qt03U+s6J/2cQg6sdWpSf6
hW0QD5CtniVTPVVN0m8GiypIz4N0rwUIyxPhPQXdQGYIY1B0ys57l2f3DlsWfArGuu866C1V/N5r
+qEd6hNI3NBvILKj6GORJ4eOlHLxZXSmcNcaY3uV1/WhHihKlvhidtoh5+xuSWAVTYvxNEjQ9s+0
5k7r7osYyTBlo0NSQDfK0i+15SYFh+Wjwr8zzO6VsYMGGKS4nVNN8FHRHrSInXYwJERvxzELWnmV
JS9ZPH8ZQx1mhp3ctU2ir5q69ZEwXOV6jTqUnLq5LI2zXlmXCFfBShcQPnC0D0V/5bbBt8obr2JD
fjGYud5aUz1QDgXIKWiVkXi+IifbYFUWb8g1Vdihu17a5ik29G8hY/YVZ2XtIx1/nByNERxQjJIY
vjR1z3MWRhvBvyHQ03O8VG8thJztEKTxBgBz7kdGjZDEDpBsMoRu0AVwN16gDHxhe4zSxTFOk1vv
OistVx4LvNUAacQlvagO7EtqYOOxx2Xfj0IHbuo9JdLb9goqNEQ7vXNhDbvJLTtLCE/FdALgdBpR
amzGoHqJI+J8qM4TBpfpU93S36Rp92Iv4xXBk1Ci2vx76TZnQ2DnjFIUopEVrYtObhgLdz5R6Ps2
wOPe1uGDkTVE+SIyZyzhHUfZVxtYhd8ALN2HwbwjemHa4CE4zqXx6av/mKzqaqH+l0n3zK/tixIp
rDW4uBiwdoL17W4Y6Gcnb8of5KkUKVAhh1EDn6c1SQsRs572O8FP+8RpdpJbx+/6JtzyB8+irzdV
iVlST8nKIZP8XgzNLrHTV2sWOCg4lCvXZtsBDLsrS7iSRX7bJxEg3DbdWt2S+VzOmzlyKoBInuun
S3OuvKwFxh6AiJnNnRGWV6ltQVbGfp5SkFjpeEyiLvGjhthvYCY4za86pMyIc2Jn/toT5vUcFZ3i
LnookySpAXeGSlQIWSHn2q1eefUd9HkGIGKKt52pb1HTEPphBN/TcPoIbE8nkYLlkF47R6eYnlrZ
vHcp/VpVlrfcWzstSm8FcmO0JbbP6mtdTQAgTWcgHVNvtq5NMryZWfzjkCU5yDHNKdmX3WRtooC2
2cucxU+GFooMsTtdOW1NOb9NEk3ONH0hqmeje/MjbzRL70Q7zLF2KupoF6XaoWDNLgmLC5Ns7WnB
PsnnbeoSKDHBXJit5WhW3bOoG2QiyNSMfNoOOT2FGdPbxDXGi9RQCWS7kQF6XuW8IU8dAb/z1G9B
DfgDbN1YI9ojLZz1nLfrKPZe8iRBn9BEyFQ8gQkkRlKXy35FdsSeruyahcbXFtu/DoF4nhwCBiiQ
zGo+E7x5GBvavtwgOgIiP+8tEDut3/dt87Vvhgv63XWbWA96HDKznZvTkqIWs2xSh1I+hTrrrZrU
jS1pjPd2H3zUUiGvBhpDCJjw5oa9CJknajUsBzO/CXScTBFSlSRGiu6SvxxZ/XnE+jtpBZO1lFia
0H3NTCJQpKvQgiwI9Z3n9DfM6Z91ozoE2DvAoDqbNMk4/6ZCW1WyvDN7r/PjpblYeohxOdkTHLKq
4uE6kMsDc3DEPN1tYPTHph7Qx9hkvnjzelmMrZTNxtTEgVn5sG4JwuAUNree3V3RYm9dRgW+h9Cl
rvT3LGgNhtX9FzOGfs6swjyga7gRZL5WYXgrFvfkuaS9LQsbFLmMkPNSIizRIadVmGxyLfZwP9s9
ISLTjZlp2zTDc+2534mmYFNSrVv2EG3jasz6waaOAJnmrrrpHPdxivvIz22796fc9ogJN7KXlGyf
dVgN35O2R0SoP2V9gd+uPEUeCAf0GncYr1ioNd/tECBdL6rraJq2dbI8psJAWzakT5zAm7awbxst
KEnz81412TxP9XQ15hFL1z53UEW7fieYSuJnjiaGN7AdrE45Aa35ENSooVnV1XCaybJIn4aM1O61
YGG51ZZu9N3J3WR6fGBdiVtwzJc1iYjfrMHs1/NQ4i1vxJu3LBfRoJWhXAjXoSG27FCSVWASlddR
k3pdekYUwnEJ72SNjv+5TIybkuQ5lsSEwpbkukXtV5spfqcrh9R8aSVYJoPzq3EgUSMtfJxm7ama
yocsxnU0Fua6yjDgudBrhhTTvrW4MDCo87M+6W8btnsbmwX23lJEc4k/k3hUQbbxD/zR/5SiGKoX
/K+6QvWKEpUYSkX0vYzuVI3067oc3q2wZs/0LuI+X73Y2+Gm9jGS+d7bw117Rre0Kf1uH5/s3biO
9uU2OtrhPjlHu38L3B8FLrPYvylwu7cibrO3vv2L2S+v/Fnk6r9Rxjqkm/6Erv4scgV2bAitFiIK
hYFD7/DfiYPuOLYBIo5Fvfz8rd+LXDhMVM1S6ZAkkV+oOP5BkQt17s9PEbJw3OJYm+Bf64ya//gU
oRQz02bKyktPzbacYT/bybWw9MTYdJSwN9wtQ+cjx722q/oG5+5Xi+nrpjHyh0HgXia04lQbzSsc
mmPWFndxHq87zUAnm5BwattnPjlgGp1xF5pDuG7a9MQ48HlJig8vJuazHIyWuC1Z3trhshU5HKNo
obNGMkh+JRiWrEvOTFdXE/qUdWMOhXg30GwSNxBmxARRyR10x2ziI4LTLtylpCgtADQ8iZO0Momk
QZ7IRSWH6uCQU7OrHQIGM3exHsygwz4T5GPSrz2Pme6pSeL2NRkDFA2DmRvboR+ShaIouXKIjyIa
xLNbVm+NTUR06zYYZApnQNrUQM7b5Mz4Q3y/03sPh281ZsWzU3HsEisOdY18jyqWb1UAec8Za4CO
bjZumX+cma/UvoGYEbZrvKmXgOQtBCdlMDwaevCkNcuhc7S7gc1eMYwHjClrMh1P02hfvEHifK+k
32QG0on4rdLKq6ynLCm7/tw73IyOVu1dVYU1nrgbeu0gBckBATRZpZg1gWVo456IAerNfI8w/hR6
xXVuTNd92bzrc3vnRdneSOQjy35KD2cfiPAiSbtY1Vl1n1ULeLl4nVX6brTbu6ZjUTmNB2h6zzn3
Pc6DN89tj1ky9r6bmwbQ6+8FgQtWJq/Nsd+wu4cAtfgCn3UQtzde2r2SBUll6q4rTRDFEV0T7nZx
EQFjvLouIHi1k/G8EME9GMnKImmB95JlN8v8KLpOAiI7TI/EVXtL03Wkk9nBVvpi2MnWjbtzZXbv
YekmG/XWhw5ioUaQTCt2rpxIPW27Ve/p170RYcZOrhtJhgj2nm7RHu3IPGTk062yvmREkR9aoQoR
d+UF9QfOJ3qD7Jk25rHUIzIPtG1Q2SdsG1siG5FtDCgdZnEaLQTTfBO+VwjkkuJEyuoRTZTfRN0p
dLj6Ym7QKTqULeY7ZN8fjWPcDd5018yptwrCwb4FpLSL5Rhdy8CCAWjklybTkwM1UK1IgCVIbrWx
WdlTfdGxiY+CR6pXkWiYrvxaeckrTOUz5nIdkznUYyrI8HZS7vOJJLwBYf/axJjeJTOPH071qgp2
dHPzVjODL4g2zqNytbt5/wDikBrIpOtRzndDeeDFpxte+eK1iH1/NWjFxojEObCsO0u56CFxIXGZ
eMeZnt8kWO1bi+wclrV76MYaHlsn2VIcnjsM+tjYfZvSWKdf2vB08G4ZTAiJkLup4YT5BUZ/Qzn+
o7mFgUVqQ5CeTJAAAnVULuvrSrECxjr/irGCN2PRgELBE0gUWSAGMWBn7oGEUHONTwMQmuIQBIpI
oCW9XypGgRHZON3BFuQxUvKU8oVlxUvnWLi6FeNAy5frXpjnCfiBVBQEzcW0XmEQmGIym4tkuJMg
E/CfHDVuYFfrs20GIRmd0XiG7jGvBkVcwB1Q+Z6iMBiKx4Dspt4m/XwqFatBmvElTevHQfbSB8D4
EEqb513E7HM7f0ADHCjyA+5MhNbAICikCzzZinmpSBFEDmZXkU1N+e/d/+Pu55r8m7ufk+Oj+Yt7
n1f9vPe53NnZKqHw591OdfbLve8xbfKkJdgJG2ru9Pu9rzLPGYTBkmUB8QlZ/GW4xXoBKqNO0oSq
KP7RcIsZ1p/vfYeRm4FTC8cW4yj9T9XjYKCjqDVvvnBrtVtdy4pNa+mwmVLTDeorV08mm6WerTE4
CkAzj8DX9dzegYEGsdbgE4wj3T5NitVOYgTMkhaMNQY1P5vNdmuIzrsG6Ffup6Gubg0L5Im0Ou2K
0BmbXLnyxVMcYw2gcQHqACvscpvHyOEDRT3WKo5LExDyoojIhWIjhxWU5LgcMY26DLR7PKCkuRm3
qaIqDzmguRyOot5AXNYUexmpSXsgShJXgSdhM8dAmi3hfoxAm0t20ZWiODe61A6JIjuHXsbEQtGe
9Z75lWHceXTsq4BRCGXTiECvX7cKLxAAjdbxDteKIg376VYHK51DkPfATJOB+gXC3S5R/Ol4GQ2/
AElt2Wp7zjxpqdxvi6JWE8gJZ8sYrqBZlT4MxdrX+o6IG/K8PLDXqeJf24CwA5osR6vPIHJekpgb
wVHM7FjRs0d7fl9i41rEDf+D3CaOwszXgYm4N63pavOOKETaSwDSjM2I4qwBFLoCX1RV7gxn2qKx
3xmocnrVhTfLx+KyBLed4aqYbFKQG8dlxckhWfStQuMnOamHY0VABafxaFjPFWFNvUbmam1Vm2Ey
7HU7fwSO3BgG/HgjCBVb93vvhOXaSXFoddaCdV3vMpgWxk3QzKTNSzK9AcwgHl3e3Jo8WYHOluVR
SUljkRGO5PAwIPhJkvK213NySyRLGDdjfVBvbQIgfbwWu15IskzCZ/xy3qrLWzLWu4wiCUWQi/wH
5Dq+4DgNwfLMi753soLeKG9ZGoTMouLaeyL/4ibNAabULVz/0W24/tsJPnz8xtILA8JQvjkTYrB2
0uJ1qwXLPuiYehGOm26q0KLWNHoscmKpEGSGFj708N4JHJ4pnNl7I8/PHQsIvy/UJT4tGmNfIpjY
J17R9d5KEb0Wjhmsiil3NxhRTrk09sQGc7aH3mUq2pZdkIEON6LaJV1pJSvYxPYYEG6YTZdy0g7o
s5DTj+lXutDnJDffq3m8SSyUvSLMPzikrhuDUUwzutckdembxMXFj0phgDLX3piV+S2xYhr3Ktqb
SA7GhGwGo7iPiyxhfLCQxc4Iu+UGYwiWJNsqZH3SBfK1LWvAkREwtCT9SBbMH7MR7JaeXTh8RQlU
WA12QpVEH458qONso1XpczGWz8TOYHEYrLdGT74UkmkjaXtQ2coAfl1pnvvSfUoa7UqEwxFHiQ5H
wN7IiIx4cl2RkIK8A2IA4Vl7BRiNdqM8lQ1p3aPTjqsodF66hVIhDU1vP1SOt25zj5hgwYNXt551
MdISn0yNrvLbv9fi57Voc4v872vx4SN6+6udj3rVL9cim3LDZsnOHfbp4f15LSoPAmt5BbgwuOsw
vvznWlTB17A0XJc2lc7XNrkxf2+HPQzOKpkJqZTavyOg+gftsC3YHv1xqAIx2Rbqa8EnhjbxJw9C
kTFqyfg2LoMXpe06MYlmtPV9UhTasc9CqLXW4ttKtBgM/WEaZ7FimkRI3+AdOzuVfoWbYBsm84Or
lbBgEh7HQsTZqpT5Jumrr6Ex8ciiF5qAzMiy19am1j+19DB3c56MO9nIAPf9DP9qcmAvGKZfOUNz
5iLvV3ZoRMTrifeOoGmdxPp9NRZ8rhNyIkmKTcmF7u9mMd2ifJS3Nah1CFuju0byRFIcgqlV5imG
Ro8tYvY4LHO+K3dKyYbstb1InGCTABlYuX38TRTGxJ034PrtqGGZ0TE8hslESp+ZMkYOCnEJDAIt
pr7g10i62zsiE6uKL7+oeNuGdCa+CuSzRYXfNqbSZpKHS3I9AQfRcSInt2u409javnUZEbpShemW
3WCjpEzuSrtVc4GrQdMZ5kqTeL2cT/miqt6GfF63Z2HRfEb2utpjtbT3Hlm+mETcg10vN82Yzmsm
+M9m7Xwtyf+tmaatGhKBMbLfkFz1EA5EBY+UAQPZwU0FH5EsYRp8sBgqXpiYaAdsVfmSjNlRkkA8
JUQRz2QSTyqcuO+8bUxasV14H5WKLxYWq5tERRozKihXxGQABVOZx3E80h+pHGSDQGSXYGQAYfkK
fKPKsSW9BdEFvYpKUl7a9lkO7SvdqF9aRrlJw5iErDCGGkcQc6kSmXOVzTy5Mly3xDWXvPXZpwA9
HuA+Ep0FqRd6sR9a/U2lFOu60q5TsH21qu6Fdf23PCysbWCKb5XSu+Mh744FsMpAaeHxKQ5bqfTx
Sw1kMuVx3fW6HuP+VkL6WGnqK8s8aEplHyJX8U235IOABH9Gim8hyTeVNt8LRmcjkjZd95KQ9QLx
aqurFB5Xr/xK6ftjIqFlFIAgxjaDvprPSDCRnDkoZ0AAh5TJj7kaMQ2EA3uYyJ0uJnYCA1sBs/uL
TN2DxrC8N8jUoCo7e/ydrdXdV8qZILEopLl8drz8gneEK8FM5nWAnSElQFJX9oaie3GU36GcuDfL
pPI2reM1ful11BAJVJO0OmOU27Va/thioEjr8NSxWNkLrBUxNmcDq4XVjwQSKPdFM02XPDNo5vXs
NcKpYUu0f1IfnUNSOyfDy69jXB2ZsncALDQg3qUL5QzmjzDCBoIXJD70OEMMHCICp0imLCMuXe9K
4iKxHPu5b9qLoewlEUqa9aQsJ3Zk2etG2VC47vCS9t0uZCRCybuwO0E9NMrgeVE2lrrCTkVOJ0cP
r2NFNlGjZCTWpodgaT5qZYlh6q3AhHA9lV0mUsYZjx+rP+ClMfDUdCObNlPZbFgcW+t0aOQ+xYNj
48Wx8OTEUQTKWtl0Mvw6Or6dRZoPAe4Zv1GWnroj6gef+x0gCWR4OAVCs7g1lBGIDch36fU7Ji0z
vho32BjtcNvgHgpwEQ1Re9Y/bUXAwmNlNAqc/DbDeTQ5sXaM8CLFypSkd9NR4lIaQoLsYU7aflJT
18tiTDeZsjUtenTGLg4FhmpsrTXZ93AJHojEo5cXKjRBGaSmKPnWVKwrSlSuujJRoSeilJcYq0bi
mfYdXitHqcGXermdlQ1LU4as1AvvJ0DVvXJq4djyvHxAedQcgUdRRoso9EngmXcmq10/k3C7AYK/
5LjAulB/o96M0d5gEHNxilEMPRo4xxbiWJWUc2MN1rbBWzaU7lWM1yxpg26/8BAhZWTUaeNImx3x
dcGhZoec2RMjRIl3rRbNByuJc4enbcH74iiTWzvD78X1VgI9ACtAwgxjHFgzewd/nA5l11JwV1z0
nNwVCHjsB6gHMkzwzgN0+DPpOR9px0EZm7LcQE+CNECP0+HNY+xCwlPrXRoP8byBfy/juaVkZ7Dr
KN35YBD3xLa3sVksS2eBLjGHb9ydzaaMo36lRaDSdHQWF9eFlIjK1dg1bfMSp+LeJuPeR+v1KJzu
lWRvaD+cC6uWpgFmcCU4QQTOO/fdDNxp13gN69fyvUmgXRRu+a0FgYNnG+pNEZnMEtPEXgdMtbnz
ECnwe2MVXXUeu8NuQOrBMHXj5f23QEmgdKf+ZkbFJUk84pi1gIUr6RyiYltqhXO09UrmoyFarFWQ
9DAKOk6wwLWvI4gFzM9iTHiQu8o+3M828i6Hc5I8EPyHxf1cLhGwkORL6lRfbepmE+bILgjw3Scz
70Ew3Au7EtAp2VovmnOouoiruAAsmlEawSpdCIjVRHuBZLoO5/x7qqcl49bxMjmg1VstPOlmzGao
q767WoF1xfJex5LxqlbncO8KSQQMLvYKX7WOXfy2ITiW07z1grOFBiKKmSL5GcN/EMKpV1+XWVay
V29iPYTTzIYARLTw6uj0bx39o45Ggf83dXRfgqH+K9y5zet+r6ThASkzL3JVpjg/fLk/K2n9Nyy0
iFzZLUn9V1OB6f5mKV2VLozPOtpg7PN7Je0QDygMlK9Mnn5A0v9BJS3/hKz7VE8xq8J7ZeBSUOOs
Py6WxGAjyQA9d1ns6IgkF2FKSd2SEohGDBq5ubiLkiA7W1WWbglM2uu92MVVd4lYUtB0rr3RwNqq
KebJcWyrt7S3XoMWYWPRnadFsKiw9kskG+LFy9mPnPCVjItbPDjpRub5G/ow6ZOnxl2R9ZW/wOtm
+JSRwpZGnEd5h+fJjK56msxTgcLAjZQ8RqnQF4RGjZe+S6wyZiAoNwgIbxgCV17yMopBGRQ5nWwy
vYweO2oqCAvGWPpNliW+Zeopf4kc6cdDKg6YmU5d5xzMIH8w5+kDJce5tTylCHiguCkhxYW7UvZX
0l4g8Q3yYpfOMetg03iR/Whiyic29csYyW07EOLUoFRdjZ57Y3kN825QyGN6nYw05JoI4JMBmCPC
CUxXoz17CjRcMpLQ7eTEiIVEsmoGRJN2BwIP8Pali4DH4eVbLfG+TE5+Yw/9ycLNe13Vt4CGtzkK
K66VC4z8bW9O9BbIHxKSQEyW76aAk5xpL4MVPHM3bmVPxpzHcIEBQv4ez/0jclLkrwuAGDEl1/PA
j47s+Vt9CljfpzJ/qq0DiDq3g52BdpVKfbgOdXcbIK1CySpHf+6H+2hONvx3vI3RiKy7unjq+TYC
pMB+GmvTyhrLnR2TKdi4gpH9DPiX9yFJNGeV6G62LmcXk9hs3sUuVskx+GbVFbo7KR+sUt5p9KK+
1smTl0MP6m0HKk1FxUiZcachKbOh15K+goRtqpMHNyi+ujgJiyCH1Zl+S4rmKfRQjEjDHrHSpnJf
BWL0UfC4iIWn0Kd02JqWQvc5CPLKOCVeoseYkO/tJUXiNOxTw8w2RT9h0sOTzM60WlsS7ZzuVC9l
mW88BEkqbDzy66yNfWozAismQZZFC6pRY3u0WqYZ9ZDwqjOgQ8g86V1Q9a7PGpfaNkbzB4TWJQ+F
NjBrIHEQ/0GRmaIMal9i6ZxI0bkrhjL2ndjLfU0syy4vEuQPQcNebS54Mk3jS1XU9+7AG2+P4Xpm
G6f3wbdg0MTaHOw7r3Lv+jHYjyYtpgiCg6Po+jYP/Qq2wHZilus3NFXopNMWQQdhJ/Dz2Z8s8xuE
7tYntCOE8c2rO605doO21lM665nlpVCbHY+o7Hgx8s2c3rEBFiiu8Akub6TyvXWDfAin4SHN4L5O
7g3hf1RGIZvB0YA6YsbaEzaWAvCss4mWbhvNgzyilRnpV5E7ozYMWaXMb7yv85HJI/QvRMWkLZtr
Q7M+jKk9Z7p2nkDob2J3LjaMBd/Ydu3nqrN9mvuZt4vxGRYQZzU3gK6NerzPnbFkpNiJXYA4XEmS
+X6GrFiPPU8gv/7dyCb8j1D/WaCpxjvT7upe/2hzHglL5jHcP+exaurrNgMubAjro6pQWGvjtk0m
iX8+sxS6HzGSoJXTl+YUCCTchcW7zU/8qi74R9MBgeLuilcrz6hBNM7gMHY9fxgI/SJpaR/gBt+X
Yn6rJdlAHkejlWIxB47Essk6L110abHjr9gjuOs5JnQiyUcYXjAlW32HZeGhWjgrS3EvwprWZmG0
qJfOW4imvZIRq3krXo8xMdG23j9qchF+QNmwyRI8xY3NQ522wesgl9emq++i1gr3YaYxGRb9hqFI
CpGmv69cka+blPfX1Jhkm83oj9ALV2HevGPV4aio/DLyLhx0O9yf8Jyt9oGEs6fU6J6b2kWgk/bP
lscEWBijWOu6EV0tbYK0z41sf47olcsQu1ImzEPTJveFNHdLxbY3SMXrmGJG9hg825kHt81DbWdW
cuU1xtMgb8f2uAQvY3xlReZtkdC4wXJK6BxjMGdSFN1OFuW1UaFLrzLR7vVEfggO+o2YvJshlny0
LTR/mo012JFLvMkc+v7YstalN57aKmMFbOydKeP4jefNMot7fEZXUUl9GIf9s9Phl9br7lh310oT
0NlEMIUozAhqYjtfevHOqBsCdZr4WczLDjZ/cio0jv9Fa87e7Ghb4FLp1uymZLUIk8DTyuXdCvLN
WIVH0g81v/2MeRCfkQ9zz1SbhurDVXkQY9FhGATlbTvPSQnfoUFzxdioXuZrEak0iZb3mdm73Icu
A3e8/rBh22PQLaiXQNBe9IW2KkADcRhY+COPJLait2amPdNkcB679YbLI8H+Fm5zW5xRqRw4jY4y
4NFxLbjgHWgrrbHMp9ipOCGGOlxZrbaPauvastpwX0T6hznrH5DB37lyYHlE037WtXXuwgzCZmF2
fI9YG8p1OmVfp5jcXDuM2JAkKPcCGl8yDF/gEA07LDjJZqSIr0nnAmi0ICvUlGpXXoVKCvEOD0FY
wR0+5L2mjQbJQc7FrPCFx30ufAzmj/z4ucVF9gFz+zgQ+bmtkIQ0rdwlLrN+Gyvatph0NkWNXiE9
Rfgo6vGl6Cb86JkC0a1lZj/mHmnDdYKHYkkPoyW3TQytnc8JvvNpK7rqgWCwrxyuNx3WB5/0W4Zo
sr4DurvlgBO70WKK7wkw7xFbcmdBQyzx3HhJfqFHIwEgiPpN7KXzppk6ngc0N+tILhHzuHaTTyQP
VtJqGdYbb0vLEjAbsVCSSMmSTl5T5L40TXWanMzxy1zbiJh0w9ElfzjZDqNxh6Lyik/uHpWTDlA4
UkM8BVZAXyC4alNxioPuKsjKZ9qfFwIjuCMK57k1pnM5wasdYzyViYbcwbPDp3wmoVGwDVziY2M1
5ykMt9VoMIGKXfKTK+5oTT721XBepmilF/F7ZtnAwwQdkjmfhsnt93MzM0Ob5DkXLliNnINQQ4ds
xwRS2dY+LY3TqC9XfWOahOagOpCLfE7GPL8xUaiuw87VAI3BQRgiVEgDc1Z/hI60Aro4+1VLFCwm
gn3LZI/dY/LujNQw7tTfOBVcca8Zyl3ote0pr0lyq80RUT5bOLZUGJKgI3qfUiXjU7aEbAEJk+y0
Iz7cfCej8uB9Cp2yT9HT8imA+rcd+9GOsWr43+3Y00fR9c3b/1/327zsZzfm0j0ZBvZP8Kd/3GvQ
qNkKwmralofCTiIS+H3db/3m0YnhMbE82rjPHun3bsz8jcvcoIUzdYd9BO3TP+jG1DL/D1JRhIIK
5020o0DjbikR4C9OlknXwqFpiv56gROgfE8hu9XYzX8YT/+nJFXo/299AgrdgPoBVUw3DPbgf/xC
Alp4LROrojK0vcc0qpmj5042L3s2LmyVza7orcP/sXceTY1kWRv+Kx2zTyK9WcxEjBzeFVBQtclQ
gUjvff7677kIqjGqmukRC30RzWZ6CkhJl2vOPa/Dp268wsIfpx5T0W9Dm7tbnoX2UYmp0rFiCSUx
JLv+wqdo14aMW5I5eFZ13EZhpX1v+8K0sUcu2hbDY1DYVm/JbY+k+LwLY5IdgzzP1HnWxQ2m1RJ2
lJOgclM6SIMzFyoemVyqeyPWuzOL2+e53uBnMVVyONWLzO21adzShorxdqX11WXaudwqRnTSxuF5
WUcdtEJSWn3nQlPklVHlDymHEqLlawvsM+20fUMyQdhx+8EyPYCZ7C6cBM+Z5NAdhmKmRTAkq1KZ
xUPx6NvkNeX6maLmj43WXsVgtXM25fCbFaHHdshHOZWsvCQFxDCP4gAxnZPgLD6qFeWqpD3qYYVP
tevLZ2ld5HMcTIsJdzIDsbh9Cn3/rEohO9ESozlF7bxfp9bNoEh3sYpMKQt9BCN17akWeVUqIh0M
BOdwSYI5lmA8goQGhRDym1KvtX5m2qn/pfJajJxQy82dXiYuFs0Qo6gC21ZRU850qcQtCIf0gsza
I19SlLNXa+9iPWn/SBtyK4O0rv75D5VF9n4uC5cyQBqdxcG0fjvFiqEsPI+szTMOoCW9RuVqvLIm
0OwhO6ewEyekP8wxHJijfJ0YR/pCm0PHmkb/Ya6/i3PDQ08TWl3HofOBUIzz7O37MHrCDb3Kz84o
7Y+GmFDcyCtc7jVUI7YVOfOidfEWUk0iTVxbPvWs0j1S+BuZUYGxlTWcOS6qWWLTv9d95iwqlUCg
us4Xrj1+twzXoDsioScb+1uYlhb5JcUwtSqIajRr8VTxaZ8bfj/H42y/U1CguSNFpO0io3QORg3o
jfxzXTeUSVGXTAoH9VKSHoQ4ZWV4h0wyOZ93nXeiYrLODQGH+5YqI0lCMotaYudoIO8XntCHaN6N
B5EHl5JTrlYyN858X46YaJZTYJMkh1e//xO/3USEOyGBVjIucLpD/0hz3m0izqh2Tp645ZncJuE+
GwEBUiVnuxT4cyML9IleeGzXP3f0TbOKRtqrWfXxNd/9NaUeD4k28qqzwtO+Ea487VEbIU+zDvSk
Oc0KGJSeSTfFIufSiKGJGno6nIxlg5BHMk6ywL6TA7wdYFg+ulgu5UVxqmbmpeyO94ZXfE+6oJgV
aZH/HYK81vqLfuLPv+BsWS//4BgO6uFsmaz++Y9v2BFtOJD5nZcDGbND1iU+6QrG5I4uOqc/26Mo
/TmccDrEBYC9CYz/5UAmDRJuAnpTJBWk37wVl2qKJgwCMF/nhzBx+QsHMlyCNxNOqDeI9KAXi++L
peK8+I5oUJf4i8Rq2J9jj4IQyYab5JbXtUqCe6gO9WxU0uw6gGJ/rtZJclU1bnkgyQoCq9FVpgpx
MfCw3HpS6NoZngbyvI4RmgxWSLAQJh61KnM9LNofTtPl19kAjywq4v7C4Uo+RQFpTZ3Gza71qj0t
5Qb7rBSDtsDHXMoruJl0qfcF/RXUKkPV5l7rKrNKUW4S/FYPYkRW+yG7A+T2Q1LGr72iKRe9jh01
JPvgPA76ZEoZ9B07l+7A6eyv6agGNwVtulNfHdIFtz5Sv0TUucIQnAeK7S5orDgHqK2ESEjFFeOJ
qSM4O7Fg7+Qp4ehY7t1lFfQvPQ8hVTTJSQMdIIL80wkWUA0dyBG8IAOCkNzo88jy5LkKdSiCQgRs
9pXRPM0Et0gWLCN6rgl0X/+7AQGpNx2kCFCSvCK6FR5P81ywlVxoS7XgLyG5MidaSrKU6XkHkWA5
SSasKsF76lPzyCQ3GPiL9pojyFG1oEn5boctPMwp/tC4u5v5VSa5ZzrcKpu+kYa3M59Ee3BhX+Hu
157gCUeQST3K+J3bZ/hUgSK545mR8Set834GER1MW/uhaiX09+hecnN2cd8/imCAmYIKBgJWE1gH
PYxb56GBZAjQpq+wN3TOMfiElJcIrRVSUEEzywThjK7it9wbL3WYaODUWFoJchqBXw4SDAhrpl1E
9jkX51D7IaRIw6FVwzOxSLYgAm8E2MVTboZZO3JTy1hJiD+DxibaRBrQsXFGuE5ogN3GRy2ZfdhC
QrlQE+VEs+inx8JSzpUVTmzDDvYHI8KnAlY90SBcDg2jhdlcEtrlRSS+0Y4bfHofAQ548yx0FrKM
LgzNCoNMeXcoDVXBnQwFZccCn8rMVM3Lv8RpSipfoB/2tkPXEXP+69R3qwls9AMlS/ERNULqPMdM
ZqrbTUddTifa4K6GQT0IJNs4jAzjuqxduBspyaeRNrUs54wOYcyF20Bq2cH7s2LzULJL/Zw+DIQY
nG6muRJgMV/qV20kKJ61cQLdG4I30SpTWTKOSryFjpQhOy70WDksMvpjXu1gwnBXKe651HkLLGr6
hd4FeJ+WAVK2pNyvBpBI0MaZXcQ//NhY2FnOUmeZ5MJMAprh9xx3iV7YTESSZc8Qqinnfoc4zRV2
FPTcvCN6gxi22+5ZW0gZ5DkIm4MzAtkLzi0lAjr1/nJQoNCRQI7txTDaKGixwqC/xP21yvT9wXMx
yhCWGXmRHnvCRGMQdhqYb464rivSvi7MNjKYv6YECjviw0GA9V0uJdqFGtIGYPfDejPQnamPf4ek
0TsXhh4mzh6FFXqPFV4fjs8yvrTw/xifnEAw34Gq8XRs/O1bpv6Wqne6LAOajRsuteL3Xs5Qbq7c
PsE/sC0DZxS+Nz/PUGRtEPHWxg1v/Bks7rQQ2y28IlXsgRUOvpc7LdI1cazCrIPd95ela4o4It/c
ainbKMO5VxNWp6sK7/z1rRZmaKRao+qfJ/Kou5wttfG9V2RQaqNMU+8C0xnjaGwK87vp61154Egp
JjNdL3W4r1vVV6T42ZXjBAaSba3psoWWWvVtpTUYool4OKim8Lh0oINeYAi9QBNigSuovXlh2xyO
nnLeCOAhHoRd5FIViETQfzErO5m7oBWqgC3UJwADJKNv3VkDsuGboDKmADu8ssV/VR6WkQBCCgGJ
NKqHtZSASVh3MceGvWBlAvOkdIKMxjnUvZKgPHCWPDG/6OAuSWAiJdKsh8Htz+i8ezMHjIZa8yoH
syFqE/BGwDipAHQ8FWiH4Pdkyq0a0iC4Twj+04IDQS1aRGYanyQgRJifEmPg4lmjV+BLeumhFOvQ
8+ZgSzD6Oc7H/FSjY0X8gq4AvYmtNBmqSae3mAQJoIo7oz/tUy8+wStkPoJmEbaCmYJCS7ORy9VY
lQNhYCKJvmoO4ircl0HFlKie5RYKoEFyproAzvCzXjSZyFYQ3bBCwGvI/oyDIOW/9LYHpnKyrylo
nOVElzb+CnYe3yuRf20K2K6uQ/3EBckLcukSVQ0UMwHyuQLu8xrzxNMAADFY+uILRLBMyPowLLDc
9Hik/ZAL8JAUJly/UqCdXECLmdcfc2Ga1sLXTM/S/VjAkBA00QqCTDYglKGAKk0BWuJEMDfzWvTr
u6kkgE0YigtdQJ2NAD2tJ/yz1A9rAYjaidEDcjSXowBLDc0/SwV8WgggNQRRLYfwhysgVtOnjQPr
Z2GV9i29pTsLoZQKKhsnHuwf8Tbk9os02IvCHc9jcNwqUBeOe8Fkzc50cN7YiS7GwfweCAA4FVBw
2QfFRBfwsAxOXJtMOwXkOKNbaQso2ZfsW4mkDuAFYGYlpKMtlcEiAoE28uRcA5HmSnfRVjakTgFW
e5aOZKz4roNi+4ZKfgawtgm+nYNzD0GH3grkW3LcBaEBGQqO6toOLYD3/rQ0mxU34usK7FyxzJNQ
gOmygNXrGAaOIaB2GGQP5HCzxEYP7KyPm1kOMs+HF75q/l0hQHtFTs5VUHz6tws8On5Ikju1Bcxv
CcA/Afmv1xQA/9gSpADw8BJQDKKAJOP1KQnygPFEIxCEAtJVl52gGNRwDZTKvYNqOeAKo5aINvUD
xx5PYvgJjQI3B74CosplDX9hNHhR+Awh8rrYdQ59eA4V8Wk6vAc8zymaYEI0ghLB6ZwuBhA6XY2M
CRst6KB/5DS1dhwoZXpZ9RGp3X2r9CKHoUV3oI2oVwvMukL7FlpJTNJcQqhCEYQVLtHYzyYVJAgv
zZAt9rp60Q86h3GgnPksrCl/c+M8JdhlYrQlf5za6m/HgvK/VJT4GNM8Y79mCHDbk+IDLFhQlJCQ
RDordGB50pq1T2CPBhyr+rz0kMtIGEM0dH8f00+tZ2Eq9Otr7mn2kN1/vOeKX3p1RpOLhdUDWzUc
qzf3XCRohqVyv9QJeVC1V4R6ZY8mC+5G+PrjhyesA57P6Ce7f/TljoZUS7CK/lLfWRfNuDdHNK1g
QdlXFC7cSN3e3XKLrNBr2w/9i6IJCSkhqYXEQ8M6V3CiZ0PxJFca51GedWY5afJRRqMRWLo7I+qw
xm1l7XNtKp7z2NnVQSkRFrWkhg9lWldpLKH81Cu6an44KHNvlCQAT1pZqK8L3SexENOxnpvyaIwx
LGnobAGXJIQ2HuZJUG/BxGGmDxPC8oiODMsAw0qra2jjxOSOY+1C7+mg8EoA3zTBgN0surg8954M
PhsNqH/uYX9qQhMwZzKUfmllBGSX/z31n6a+EHj8eupfBatyE+gifutl7qsyFrkKmRZgB+o7N0dl
TxZwB2oLQyfV/hXogmJExEzgILf23OWBLwUq9a4D2EI9S2eZitL5Sz0e8dbezX6KZ5YgFSpoCEvq
bYE6wuP01SzANZeWOkYDI7l0yvfMe5Ad5iQk3dJMTwIbtCHoHJDFnH8vVescwsB5U+QLQqG+xE3z
nYyDqTxI/X4V+XdpaewXJINqqQ0YQDJ5ZX1TTB2Tvr6myIqOa4N8KgAe6CIeFKw+vQ7ltBC69hj+
Mdn0cpB/g36Bi7l6bMCtwgFqOWLlqITjnapLSJH7mpAHcpX70MK4KTioGmKawnS8oyd00PlRMNWj
+qK3/G9hkt6MdnaC+vEOiCuZRIb6KOEnDsr0NVISdaI3xqJ0pMVojRcgySANRb4Pk66ZQpsn7RxY
GbYuLHq3O6wDzLqoWQS5dd8qSCOvcF8cEvtr0RH5kdeDdUg5pEw6l3aFHBNf1EkHVFk0HILSPWhQ
PWZ6f6hS/nS5+aXLkcPUSXkTG8MyzolONQv7iPvqLVJWNK4ZPk1yf+pFuTHpPEuaG2F6APEopP3b
HMMbOMRGEwcgF3td5YHQt++e29wMtsHdWKdtTsLG90iunElcaOha9JVmseuABd489T46GQsgCfyn
ruDJDl1rzuV+gLo97Nt2N8+RoTYVY+Z5MVJCvIfYBaOQyumM7U/x5y6Ktn00iEZP+Fkw4Mecy/Vh
Ztse9gWYEClqDdReZHJJIkKg47dVVWA+y7gtsGCoDbXG/RyJ/6QnWlwXsnV0jTH1sefTxs515zRp
CpJTM+0+9cEI6OioMw3EW6Q08V8dIWZjdY8FIwHfUfEIqcUkFIOg+pR6wVIGKjwj+mIJVqGlWWeS
r2L4o+Y8A6pPJvl3ca9/S+0e+6m+vcqbyIcYRwmkF8ZDmFePmPGvxhqeQWvFXz1TZypoGt0iOFER
IZJlKgVzHCu1uW60F1zCvBnkxQPdL7/ZkVEvNEmP54ZrfxtquPu5btIPsroHLOYgyGHEwcwhkYPu
kI0u1vFOY086877F0L892iB9+KDTHDMS5gupdGQZH5spTqdZftlqMOdJm7jJhSTSzDyRwjfhQEU7
JZu3LsKqfYN/sZXu1huLS6q36aBLFb5w31LDoLs0YMQhWdYYzHgURoFWNJNMKmfTJOxC8qtpXPaU
6OLcI2fwSzNk3mHkw0cy07OxzBFH5egh9HIa6y0CgWKISgoFttO/Ox8CEfz1uXJdBikwwseiSvza
z4MFhIB+h4K9ujg8RNLoz8aHtocppfFT1P8iUSRbyUSJiCmlyhwFd3h9qvDvsozDjkOON2aSf+VU
gU/w4VQxOPEcrCf4H96KOHVegflEgPRmUVTJRUpWqH5aqQ0nydAEbGl0LjvVIc2iZdtEEHGPK/f3
UcgLcEm7gmGG5Nj6MbSdP89RIpQgjoWQJhCTGs8a3TqThWwB5wv0itwVILAiasACjGDEHKGDn3tn
XJ8iiINwnLFaOa+G+kES8gjD6R50IZjwobg1QkKR2cFxL0QVmhOeSnlxUcqZMcuE8MLnajmrhRjD
GsoHKcOiEUHfjxaz9TGJhn0ZBYeEksPvamWCI+aBZdXcgyNSR4Tmwyi6bx2Sv5g72DREFqIZ9Z1H
ibAPTc3G+APtiIdr/xxsCD8XoSxRkJiwGrN9jkX04MhPgkA9z0QgAgEVV7KISPDJSuhV+SiRjZVe
J/sQDJeVDqVPhCuU+CD0pC2UTs1POweJXN41GOZmPdk0qchnIKfBCXGozWYy0Q0kZdyXanVejsGt
QbRDpBP5idkpaQ+GeUFfGcoaQRCJH8BgquFojlLjce8LrqpAOyOF82x8ypGQAxUgl2wJo7CTw1Ch
NjVE8gRHy4VkQGlHNO9NDInscnJjjkOfrKxQZFcUXnzqQyWlt9Lf0Gw6UjvsKB0CL+yMrjudlvN8
oP2KE4F9WOapuk8KBz5FJGaUwjEuH2J7P7L8chaKZA2zdfu5IdI2FHQgU4vuODmqX10COeKguTDl
5lzOUhocklPsl0QS9TQHJx5xHireyZNeJHzo3YjcWy4PEwkqSKlK7j4LzZ12WXssW/KZz5+Cn4TN
KZVfzNa4wIv00AtxATTVkJzFjP4BV2yFCMNoNG9qKHRy4n0ljnwFG0WiUsF2ymi4RLciv8Ruxjuo
mMTrqCjGrfxWasg6iavuRkIIM+VXIVKIRBStja4GSR3mmmpCNVayxwTRH2YT+SkGa+eRPniTeuiB
9clcaTCemvc2kgCrSzzWSmmTvh6oU7JOD7oaBnyklf2ydvNwJle5O9NK4l20KLxtopkVBzdaDeHM
FkEwrLWZTidmatdWvZ9WOEEbHd77vaK6Uy2Tj4e8Ix0HYmMSBtqM680l0cb+fEgLDJJUBIUplDvq
QqQGT0E1JNYgoVxGPYb6zLUrXTuSBsRAFG8SaTeZVc1hY4czZHoQPLKvWI08yiIjJ7f0x3KUvzmE
5xAJeJYPw5UqUnWgZPtzE6okRynE3KZaxoA+k2A4tLOREElHULohxjL3SFOp9GlpD49qVX73pOa4
y+rLOJdOIVbS4EjBNIn+0ZwW3E+kARkiFyhsIuFNRFZQWdeP4ANIlPtOncW9tQyK8jtev7gOQFme
qCJ1qO9s86huILtWhmRDFtfv2HWLiTkAQLUEF9WE2cEqUgPovfZxJdKNvKohdXRsj2BxtrTIvC+m
3y/xkcTCVKQj1UUF3Odhn1PpxYGZQPXD3Bbbrv6qRuMhfMXncU98exEFWGelRsmiy1gStnkal3jv
Zr2LIkoDqGrcfmpJ3pXr6udZ7lw5Lu2dfrBRIIIvYjYNLZ9wek8pFlAF47uyo03qdu2JRBuelrNY
2EZ4a5mIRM22QxfjdDphr/6PPuWe2egBvMn0iA39y6BnJH3JCUIKtbnMEezhUm7MWnC+fR/TzWlb
afrEMMlTsNMjMoT1KQDwSeW3lwHchYkKfcQNsBmxshKbLS/md9v2yjBD+wAc80eV0S128tKd4BTj
T82wIN14lB4dHVFk7ZfBPvkVl+mQ/TA11nYRW8gNEmjCMbxLdANjSoClg3A7K+4UOxGZSHCbkwHS
uqYS7umjUZpl7NlGnsqLEF/2RSyCZR0sGnMmEiZsi6Gm66zwJ59w3JXTTiNNte5lb4F8iTGFN32I
+BJHEj0BG0QOp2VwRRq9vfGH6LLjTJzWIcbsgQHf17AM1AXSwHSDnjNrQv7NFqkkuTR2s4h0iEHS
MvxnLNrLckc2XWTeGDV5fOnwYGTGRejlq17hcZUe3gnh7qQjPGNiNukJdLjijBSoU87/fmJZ6QEs
wcM6zsupPqgN2aakpBRxGB9WY3GjqSz8ONVupUE/h/Pw0BUxndnwhsNePkbkgn7Xdg4r8jlx37t2
xuhAk4DjLNKWhfsYgnC9O3ANjV4GDfdM5LV0yClnqmXdB30Gp7nM0JqKoIkhs78oblLMDaTCk3Ts
03meJwFrpXEP5XJYmhKTofZbdYHR8nWfoiK2Xeko8LxlGVozDwNdFD/5flbglZla+UUWEd1J/9Sb
k0R+n8Mnwmgt+KbLyBfCwryQG/Nrppv7bh73B6OnPYYyjRKtxUxTVUuSCPrUX5gWVlq1id2QnNG6
SUMBXAeDMylG5ZtZtWcOAoQ5zDgMSyR2bYiA3iy0sGIzpXApp+pphI51WgduOC3a/DgQ4Rx6Xe4P
ow52owl7EDk6CL26nwY24I0sbgiF6qbTDMbxnEzLB9+jaV/YXrloIX5AUG7bGeohhNlEfQ2SeYu9
rsLdzDWmSSFd+2V3g1IdJWngTOEWcnVT0E42wOoeHiiYFfpXtWkVhDbXh43XVNNEdm7IWKPj3jlT
rarR+OdSgwEb60nD8Lv3pHimRumhROXEggxlxCrVj9xLuOtwnjNaHCHhQYGKHDl+sOq4XEq5+WjK
GHhrNodAAgua6PdHq0r8mRqr9+1QHjuc5JPBMu6r1tovbFh5qaccuamWzpyx1ae9Gd16SVJNi75U
pzaOYigV8AD/IdsIRZ1En9g6yLDShEe5URIk14ThmRpkWLaiF7Ht6JsnGeizuvBaAfeZ5I30xUoc
E/w5O9Sd7ran5kLbP5LqnGfpvKhpuA0GltFJVPBxdLKS7Y7keXyjj+0CSwQb1DyyCuyLuu6RXAxM
Czqrn5NRuZDb5i5vWbp+qVzGXiqM3rRTzQzgaRvgaE2UXxEFZ0wNbLMoL3v26TI97fUyXZSmjtlD
fY+VMjbmQX1b9PA1kka+oR941A/xNe2OZNYRiJ1Z8o9WBCjaGLySlmV1M0SaJ3lVLlK5tyc4IWI6
l8sZszZcOdTGfmvCfu/T1ZiUR6MDr8HDqVFV4ZmG4awmdyZvaThUVHlWxNaHEqGBNdpZZMMHvMnG
2pf78tH0KemsrP+mJdR8LcnpAU7sjZUeui6JcFG6pDnyI6ybc10vjpKgVmYe3s9uS3IdnhkHQ2F9
6X1l3hskKLhFdoX2+oCrPTFqeNvI4UU9atMhwGVu0LjTuvE8KNuTss8OmyCfxobcqkdVqEA39yw1
uozT0bwbssC0zwoJm9/L2KhJmh5sE21hLv2/Cet9viYLYtn8iVd22azK4cuq4pCtXohd4rtPPNTr
7H/7od8/6JnRdj3kMNqWD0mQzoKqLoP7+vXtlCwWmpdvLrRP7+npDf/uEfGSs6N54NmatQerzaQN
7+AfxxdXyjgj1Wn9bUi4zh7VHORwbkRPX69bCb8bhd9/wPVw/v5nfv0JwArWlL/Dh3/+Y00KVLjr
/uWR4DmvhsLcI1sYRERnWJ8/6oeh4HuKqkBL/bOfsjODADv2f5kObwfB2kOIYENK1NZjwEd9Mwiq
uqcyRpawJN7BMYDY+b7H898sibdjYIvwEe6FolPz9sPLAARP7fr1alm/1KsN41dbwu8n+qcvBpHa
vvViEMCJMKlczwNm1tuhAEGUYYoqOiyenZwI6nqVriUqPxfpf9gb304EZ0+lpMDXi2klvhjW94NA
R0cXbPQdHQSRnLPlTIC1JZAqQ37eEeh4vh0ElUAeRA6Ww3d2ciYI5/ItB8Hcs3DNMGALb14OHJOW
DWJuK2ty+u7tCfJ6im6xHCAAWEJZo8Kaf/r6cDboewi7NM6GnT0c3ksH/pfDAYGR4xAEuB6EDcsB
F37Yj8quLgd1+z3B3iMV1iEW4Llq3LQx4nKtgESsv3Z1Z9j+jLD3LHAgODTPn/TDQUnNgG8OM8J8
OkN2tWaQ12t2i/1BQ81KwaAjjvnF0kB4w2UDxs+uDsLzxrXNIFgQo02AQfN5k/ywP+BYSuPZUlDe
iK9dHQpR7Gx5aNrChkpFxQzEKb5EcfX6bglJx7ThfGNevqv7w/a3SmpI8RFNQmI3D4II87YRewlF
9G6WT9ufF+wMqOoURyQVvZ0CKnPEhhVq7GrJILQD260DPIotm4sSmv33n17fQ8auwaZ83ix2dAZo
25dN6h7+AniBqe/3QwXpB47PyD+eb5o7OgbKeqPe5mhgDPj8aFJoWYmv91WTYuwZ3DGwnt7tUkHZ
vlQwaTOp7AkQo14KxDf7giLODseEX7OrVbSy/flo7KEfEeXS+s+9qfcq7hoKbcldXRTbbwzOHldG
ctLhwD59fSgS1D0C1hVoubtaJOjrKbrNzoDBpk4UmWH+ahDgLGN/L9Lnd3QmCLvQ7Y5JzdwjDO/J
1WY9E95vj+j2ybvTMX7Y2VphPUW3mAkizwBaOjYC6zH4cEaImllEXNNv29GZ8FzMbzEIWNHSekaK
jcPR0xdH75vTARACpyKMZHf24vAMEW0zCDoyBVXVsNPZfJvmiBQ7AmHn6+vVrl4kn/tg2wyFucc9
kisCTejN8wG1h0nTDYxyRxeFKP233B75c+PVRW7YL6pHgcyxMQhty64OwvYHpUYJzc6ApO0XiwL8
0kCgBkN7RwdBSH22nAnOngOjnJbjMxjxoQ8v73FAOMj3drWlIGJ6thwEbQ/LPAPC9npL+Fg804ij
8QRYv6t7grb9NcrGPxCpGjlz6+XwYSaA0mKEgBXCbjcbP1g6/S+4DLUjH1Vmzr8tFoCtyDpQ6LTs
6pawfZeRRhJNRJoozxXT+9qZLgtm+zKgza6Owbqc3aZKAKimw6SL2Mqnr/djwP1BdaD3OM66jNjZ
6bB9rWDRcRRyIrLK1l/v14TwOZNx/RSh32zEuwdXC3+1LU8IEWiBvBfy2i/mw1NP0tSpG3d0EJ7/
OtstCj4evlMv3dUPJwRVIzmzbJy7uhz07QsmXcx2wVD5NXsDWrcmvGlflstOLopnkGSb+QDJUcNY
GP/D9aLgr/7mtITIgmMEgkRhF7GTg/A8UbcZBErDtZHFrzBaZU8MAcSuXS2g9e1rRy7VFjnUsoj0
EV9czt7MBNFkwfCAmbKzjdf1FN1iJtBuM7Av02zMuZ++GNb3gwA2hUD3+QK/gwfl1o1XwevCC4OP
+MJh+TgIJr1pgx7Lru4J6zJmi5kAeQWcRYWt8HxGfFgOdJ9FV3J3uZ4iTHe7konlAPZo0nf8xUEp
ekwck3B41jX2rtYMz4fXNvOB2wTeSZib/uKgpBGv2aqioLPf0UUh5P/bzQcNQqfNvVL+FdnxqVoA
zjafKbb/1fb4X/zQT53N1A/ihyeFDbmrm4Q4v/qBF8b9x++/ko48CWje/KRQ3KxffC0wEf//X28E
OOrTZenVd18uT0+v9Pz7zx/x44u/ebGXz/XyjwcYGy3Le394+sbw/EbXttb/jnG3fli+F76INujL
v21QC72uEn7/dLwcVi8P+lNVI7Ol/PlR30mR/uuHJ8uHrHx50KuHs3ts/fBJU9eb3jhvbutnT5fx
suVPUr0869V7Z9Fv/3x0gpuMVmUW7ic8PK3L5R/TrKo/zBr6H1QNW7/EbBX/cZaVG8efmnHr58/j
P2ZZyeR5edar8eceu/XzF+WqSjc9nLN/64fvx6s0fXnOqzf+Gcv1oEl+ZPFD/fHxgq229Vs/TPJV
GSzjl0f9+e4FCWr7xyP9f3nMq0d/xoo9XpUbxlxQdbZ+18dB6m3YCITucOtnnyyjDXuYkJJ8wqOr
arVpTD5jgZ5k1R//Tr1VvNo0Mp+xRE+XD2zAL+PwarZ8xhIVVtebhuYzluh/sNF+EhZvcWCfrlL8
P4NNu5cg1289bU5X5f3q4eVBf467IMhv//DfeJduPTDZxjH5jFV6mqX1qlwNLyPwalQ+Y6WeLfMN
E130HbYe8LNVu/xYOxqy4BVu/fDzcskW8PKgV4PyGUv0Il7erzbUjkLDtPU7vyBmcFNxJyD6rR/+
JaB0rIKHDSMj0O+tn3+1vC+5EqT1hrNUIMuf8ALpH5MVjnibXuAzTtSrpXiBMl2WDxs3MuFK/Cmf
YhasvE0f4jNWrfgQC1bAfVDdb3qNz1i+4jWOsmXRbDqttM9Yw+IVTpqg+uP8R1Dlmz7HZyxm8Sqn
y3q16fmfsZ55PmFQk2X5Y7mpZhBA0mfMJ15jGm9+hc9Z2OJTTMtmfHm7f+6pou2//UfwlxvvhPqn
LOrfmTNve7hfBVWEO2PzMgivBuZT1nIWLzdVD4Jluv2oU5gkGw54AXRv//B6iVdtvGw21OGCnr79
C4g2y4ZzWOSFbv3w65W/3DQ0oqG9/cN/6+q67Yy8btgJNhzxAqnd/q03NIiSTX050d/e+vG/T6/d
dmR+k8O39aObHxsWkvGfV+mmtuxP8svHZu2LL8umX3vbixY/cR+vluW//g8AAP//</cx:binary>
              </cx:geoCache>
            </cx:geography>
          </cx:layoutPr>
          <cx:valueColors>
            <cx:minColor>
              <a:schemeClr val="accent6">
                <a:lumMod val="40000"/>
                <a:lumOff val="60000"/>
              </a:schemeClr>
            </cx:minColor>
            <cx:maxColor>
              <a:schemeClr val="accent6">
                <a:lumMod val="75000"/>
              </a:schemeClr>
            </cx:maxColor>
          </cx:valueColors>
        </cx:series>
      </cx:plotAreaRegion>
    </cx:plotArea>
  </cx:chart>
  <cx:spPr>
    <a:solidFill>
      <a:schemeClr val="bg1">
        <a:lumMod val="9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7F04049B-D251-4622-BF9C-663DDB7B556F}">
          <cx:tx>
            <cx:txData>
              <cx:f>_xlchart.v5.10</cx:f>
              <cx:v>Sum of Amount</cx:v>
            </cx:txData>
          </cx:tx>
          <cx:dataId val="0"/>
          <cx:layoutPr>
            <cx:geography cultureLanguage="en-US" cultureRegion="TR" attribution="Powered by Bing">
              <cx:geoCache provider="{E9337A44-BEBE-4D9F-B70C-5C5E7DAFC167}">
                <cx:binary>3H1bc9s40vZfSeX6owcHEiC3drZqQerk8ylxkhuWYiskeCYAHn/910qcrCXLWaVqdfHKM5kph2qo
yQdodD/daP7zsf/HY7Zaqnd9nhX6H4/93+9jY6p//PWXfoxX+VKf5PJRlbr8Zk4ey/yv8ts3+bj6
60ktO1lEfxGE7b8e46Uyq/79v/4Jo0Wr8rx8XBpZFjfNSg23K91kRv/m2s5L75ZPuSwCqY2Sjwb/
/d5fZvJbqQq5fL95jfz9/t/ZMl89Ld/5ZVOY4f27VWGkGe6HavX3+41xyPt3f21/3SvV3mWgvWme
QJjyExfZLnEZ9b7/8PfvsrKIni9bmJATwonNGYz841svQZU/0ui7PsunJ7XSGu7s+/9fD7BxG/A0
/v3fn8Lj+mmsAYgAi7/ffyikWT29uzNLs9Lv30ldfn9cavDL9a1+uPv+bP7ahPBf/9z6C3haW3/z
AuXtR/vfLm0C+V9AnmTvglItn8oDwOyecOIxhzyj7HnbMKMT7nnYdh2G1j94E+0/Um033q+H2APx
10JHhvm/c8BbHQRwCosWEdfegTQnxKPI24X0/grthnlLfg+MtySODOBglb27LGH3+N9jbOMT7tic
E+y+YbvtE4JsCrZ7y3j/kVK7cX49xB5QvxY6MrRFYw6BNPVOHEyojRz7B9Lu9qLGJ45jM4zJluHe
W6HdKG+K74HwpsCRoeuXWaMP4YR5sE49Qhl2vptkBMt12wlDyKXMs53NfXl/jXbjuyW/B8BbEkeG
8LzJv5bZkzmAsQYHy2XYtgnbBtc+wQxTBE74j8W9CfGfqLQb5Fcj7AHzK5kjAxqCrWW7Ukv9v0ea
uifYYwQTzt9YzeiEuev1bsNUeBlT/ZFSu7F+PcQeYL8WOjK0L5fVIcy2e0I8iI1h0/0BNN1e2RA7
ux7s2u6W/7WvPrsx3pDeA96Nzx8Zsn4JDMAaW20OgzBaO9eUQnC8/nnld5ETTCFo5hiubCzlP9Rr
N9I7724PxHfKHRnyFyv1CGyPfwBGjCLmMZc9b8evMEcntos9jrm9K4DeX6/dmG/J74H2lsSR4TwF
2rA4BCXGTjjFzHEw/rG2tykx7IHH5sA/eMvp3l+j3Qhvye+B8JbEkSE8y1ZFcYCFDEEzQQ72Xnvc
YLU9F3PqbO3Le2uyG9hN8T1w3RQ4MljvlsW703JZN/IQ4PITzwH2i9jkDd8Lg3NGbOBLfsTUW7zI
Hyq3G+9dg+yB+i6xI8P+fKn16gCw27D3Ysd2vWfU0SuXG2IruGy7DBJZLx2y/TXajfWW/B4wb0kc
GcKLvFopucwOYLcJpKKI69j0jbAKOycO7NsOhvzG+mdraf+JZruxfjXCHmi/kjkyvM8gGX4IsoSd
UCBKwFA7b3phDK5BjL21oPdWaDfGm+J7ALwpcGToLorhMC62iwg4Yfw5bfHKxV5TZR5jrrsVPu+r
z25sN6T3gHbj80eG7N3yUUHBRmEOga974nDmAQGCfizeV8Uj+MT21v9A6mqHpf4z3XZjvWOMPRDf
IXVkuJ+t1AH8L+qcUP49D/lj613vvRuZKgia14wZBqO+6X/tq89ulDek98B34/NHhuz5Mj1AMQGk
mKFUAHMEhSHff3bkID3sYObyrazFvvrsRnZDeg9kNz5/ZMhertrlQYr8IL/MCHcpes4vv4qaMKxa
SC7b3ha2+2u0G90t+T3w3ZI4MoTPS/3u30W0ylaH8KXtE+QQQt2fvvQ2c40hYWVTqAuDZb5jO/5D
5XYjvmuQPWDfJXZk2F8snyDhfIB4mZ1Auhm4TP68urf3ZIJOEAMnzcbgf7/kRPbXaDfWW/J7wLwl
cWQI3zfZUh1ib4YgmSIMnNePks1dXhfxIIjCDlj2lwjvr9FuhLfk90B4S+LIEL5YqkOx2dwGPhs9
12dvW26owncoBlJznYF+CfDeCu3Gd1N8D3g3BY4NXUjar9RqOIiNZpxxTtFzTdAOD4w5zGZ0+5zF
xR/o9AbG2yPsA/O2zJEhfaWW4IUdAGcK3DWconDZG4W6GM7bOFB6z7ZZ6/012o3ylvweGG9JHBnC
19nycXWYgxWu9x3j5714x0oGvhNyF+QXof3SYO+v126ct+T3wHlL4uhwbuAM3wFWsnfiUcbhxNRz
ecgrbhOdQJrRczy6VR5yne2r0VsIb8jvhfCGxJEhfFcWZX6IuMk9sanHoILzrT0ZEpEYNmWInDad
rv012o3wlvweCG9JHBnCtxJKsbV8OsyG7LnIofSZr34dOnFgtDmC9OJWcPxHSu3G+fUQe0D9WujI
0F6Xv4gVnNU9REaKgXtF1mel3kgnE8hIIYLgIMYW0/lnWu3Ge8cYewC+Q+rYEI+XBynPhmogh0PM
5NK3TlqQE+pi5LrrEsCXXtjd3hq9gfSm/D4ob0ocG8Lf17QqlupJHqRYF85IwQE47AIP9v1n2+uG
uIrASQvwzLeA/mPF3gB89zj7AL9b8ggnQCBX0SFs+nc3jDtQE7adbOZwcg4WuPvT2r/Gfm+d3oZ9
c4g9Ed8UOkKwp8CgPEr9WP585v+bZiTcRYgDk/0rdt6oLgAaFOp9sePSHcv8l0b7BINvw/16mD0h
fy14hLBfQG+VQ6xxDmdqoJUBBNNvVBLBUTriYqgl2qr2XHtPeyv1NuqbQ+yJ+KbQ8aENR+rEUn1d
HiRraa+X8jqj8fbxG+a51MZw7P37z09D86P/EOD+Z+q9if2OYfbDf4fgUc4BH7Kah+BfIPKGWgSo
N3rroB0+Wec0oSxli2H7gf3eav0O+c1B9sZ9U+w4UVfNuM9O+of9xqBYgdvYRvh5VW/7dLDFQ9Mi
8AK2S5GeQd9Tq99i/nKM/SF/KXVsiEudyqFs/vd4r3sUUXDYyM/+cuC4bbt0jMJxDqhQ2TLwf6DT
G2hvj7AP1tsyx4Z0mS0PEqBDaZkDic91ivv7z6siJFjXtuc66BXxtrdGb6C8Kb8PxpsSx4awWRZS
Z8vmEEkxDqfrEJybZW8VCUMhKVrXGPKtOhVoyvgHWr2B9Osx9kH7tdSxIb5uOnaIVLcHzS0IgU42
zy76q70an7D1qn9VNny3t0ZvIL0pvw/KmxJHhvBH4K6bg/jg0CHQBWIVvdXgBM5zQKtIjBjaWtB/
oNJujLcH2APkbZEjQ/l+FS8PkeiGNAkclWVQG/5GqL3u8QuBNvQP/HGseoti2V+v3Uhvye8B9JbE
seHcQB/BvDhEthu6IriQBwGL/IYXhiAhRjB2yZa3ff8HOr2B8vYI++C8LXNkSH8us0OQpe4JlJIC
FYqAF9kMpiDa4nC8A/oJbgZT+yqyG9oN6T1g3fj8/wFIf6/ixg2vW3j/++ez3ZHy+PP26wT6tjIg
QXcvWNh/GYYKJQyHN3awoNC571fP+B/57V067Ub1pezGPf64xd8/lMM0V3+78fqvHvbB0iwn37vf
v+i9/vur328fuvZviT4XBOx6YM+XFk9/v3cgIfEC1PUYG5UEL5/iDwT+I7WCsoe/31sYQ/Z6fSoL
QSNmBzpKwYDd6sclAjT4+lQehFUuzIJ1dqOAbtHx3+9tCJgxtAyF9vwAPfR4BgdMl836El2fBoAB
IVnmQu0DHLf99WaC6zIborL49UCef39XNPl1KQuj/36P4TuqHx/7ripyPNj44WAng9idQkcdsCrV
4/J23fABPv3/zEjLqm6a/rLoqDdpuzCuREkTnvop79obZjnDadK3RTpBKDWfTWm3H1Jb97XQXlE/
vHh6u7SBusptbSCPDz0hoL0avJhgbcleamMXQ5V6cdNekrrAl1E6FqFoeMliv29N6Ym2s5vPvK0s
KVTumtqvE5VGIhw1t30o3S2ePGPQFYwRNwHJMvxhdCwXzwbmhCs8WLif/l5jAtWArzSG6n5oSgMt
iaCNK9rSWPIYsB3MJe2dKApYP2YfWuBC6NTwoXREO/Q4CSQPXTFyNkgxpIjO8lYNOFBtaZ7iXmvs
S6tyAg2vnWiFyWPUCq6cNJpEZRJfp413mmsv1gFUwngfdVyfpVnn9BOpLXYhVdzms9/f1WsYoIgZ
QSMW6B4OSfbvN/1iUvDBijqryvRlYULvYxm5mAg7JTA1qqLpr7teeXdViLNPv//a9Vx7ORfhaCL0
UuQUuqPCWRhC12q9+FoH9ZFd6ai4LNwRX+I0bi4LrXzphvHH338TLJ9X3+RBKRiHXkHQzc/dmmdV
YQ9jreLy0q2Qvay7UmWz0LgDEWkVT1DdZKNP0eCWfkKdLv9vk2Y9KTZvFCYK9MawoQssdP/d/nrg
0WQcFbm85HXqLPOkcZZpttbBGXM9YaosxYAA+lmX1R0RdVrylck8vei8wT7vGVXIp11Spn7Ci/wD
VRWhQewOw6qy2ipA1phz3/FKW80dysZG/P7prXvgbevP12YDsnPwdhDwRjaBQqxxCscJrQvchPlS
KqMjga3UFLagw1BEp10s06+R61Xn/VjHU1bavfQJbvk3w8ex9Ic44r5dJu1KKsqfWqeK+envlbSd
VyBTm8IkWucaIHfscPB6X04nplyJVGzoRWLXVei5gfHicdabnnpT0zaNr/oa3bT54DQijmPuK1zM
NFHVLLMr4qdZnd9WmZP3gmdd9NAlebkYtDGicurqA9OpG4R1EfpNmSRSSEOTToSJLi67ytJXtTXS
SRRhLxHWGBa5T9o4nzvMZLckia6joaC9yBpeX5qwvjckt2jAWgIPUg4EbIPdjKNAnZucZ7Hjfg5R
Y5/GzMXnY9S3nt+h2M6hX/cgF5arhlx0gzsGuHOsYEz6x0rX5q5BFo9Flxs+DXXdLOyQkPs6xl06
C7mFpRjjNPwKOTrVClnU1pcm53lQVZos0rKoFrj2sifZVgzWPc3TO+mFPRdtbUenKlSNP8BzmGGb
eFd1l/cTu1P1FOMet5MMmqZGfttFbu23JA4nuaYqaCrvKg6tCAUYl2YOWw3p/AIlTLiGZ5/6HMVn
RHnVnUONM2u8xCJTzfJx6bJSTTTqk3Hapm40tfoeLYnOum86qirHH4lBjSgi0kbT3iQlLI6umwxR
27hTVYZxkBmazwv4qPCYrUp40HnLRaKTxPJ52HHBS6cfhW2y0KfGKvKZYukkspsB3XQU2/AmH4Uy
kcBMMlNqOk/Pesr7c5aOYxbeNF1t8lwMMhsK9RSHMSHjZ91ZPc9j4Skw5eUjGfLEUAU99JumQpcm
NXnan3qyHmet15hwkSspK5GQrLxD3KKLZKC08RvAIBRDjbwe4MpdNyjCEPZDk6VdPWFpFyFfZQaH
V3GNGC/n6cC7OBj6zDPnTBsKM6oLS6w7v4G9cMqsOAmvWlg6LPJrt3JhwtFU59Mik8oTWQ2bVzjp
W8l8KwTP1RFDiAobevCGee7HXtOF0y7jWT7RIXgFU6eI8tF3RwcsZkFSu/HzWFmZaPUQ6WstrTyf
lJF0v1lNyyUKUEnMTNpu4146VhiFpwXlhjuJX/S6Hoe5hlyRiidVFPN8Eup2rKee0oWcDhnLhznS
Oq98hwyZ9HnvDNlMyVpaPsBKHqwqH3EA5eBpHsAfZF1lCbI0PPKieEjy3MsXVHkmm6SxYbdjYyid
JlZJ8FncxZoXgsckNrNQtVVxB5sxPU2ikaTTpgINJqXJonHi4n70fDcZqu4idweY2hYsFRWEGDen
ijpOFkQhjZqAFy3AKbkG/6QYEzqushROJAQuKJAHdMjjeoGRtOeR5CnzSZrWNJClDIOxCVNHWJ2q
vOsk7BLbp7JORpFXyWidoTCzp7gKIwfU9Xg1wUM8lotY4i6apJ4dd2L9OYE96RUwfSJa+30nrVGY
XlpfFDSDGiwhYR2RSzwWcpTCbW2L3g9ZR5pLVnlDGRRebS6cpoAtKdI8BQEvp/C0Qhnj4vOIsyI+
rYc866e6c0Z5hk1k7u2EOEunD/NQuBgm77Qpek4nmo0SlG9wkgcZrVPtu104kVjWn7OuA88iiZL2
Tjus+1qpmM5b3kXhxE0dREThhjCOk5VJPy1Uiy/HvqL2jTYOvsfGgk90zNKub/DA+0lL8kTOVU9I
tyh4pMmVtLj3sUD1enImSa1nPNOxvu4H27g+qjvAJu4KUKzUYHTPYAfzPlIXwezOwUqqAFoB9+XC
aC8k14lq0vSWuIVnL3o76ZoL05u18xkP/bWTWqyflF0OX12W49iKnuRmnKGUr29+rXoH9gn0qnJ8
aTsF3EVTO/Co4rRMR99LW1g6VRal8qZQHJa8asAriOAa2FRiiviqxvagCkGrGAHcneqbi9yKKy0k
aup+2sPpUzoZ2pqsjQYsJh/uCAxI7+G1n2yK/GMIb4g6dVspXeHGTgrzYojYsisoqNGrZLilpkf6
LAI3NzkrqyJN7lzYLWa6QPiy9qL6M5TXs1rEdizJaelGXnMWxmXUBoPidQcO7kBnFYHH6iNeD49p
ljrXfaNROa/R0KYPHcsjPc9DK/82jN7ahsg6iwOIA1w6kWSI9bRiufdgoTCf5l0V1YLbYOYG1cW3
sjT6zMvTxAkcokgEZg9ekCPamHgfVWK10SQjBSyT0Qqpt7CLEterHAzycArdYGFtdGuLPUkcC55o
347tBDaZrj7DqiHMD73MtLDT0haB610nX5TXevfWAG766egZhZ+MLgYtcox5u5AdgaH6HMejb3cR
ixYVwNL5Vuqx6Vi2rbnoB57dJa2uhcv13M771pmPHQNwUoT1OKuytCwvCtbb55ZBdjmJ6yJvz6Kh
q2LfdXQe34Mnop+QV4AZAdOpW5HGutPC61q3hl1gqO+yqMbyEy5H6rZiBA9s+FAZankwmA7VJOZW
Gp1aYdV9jSNktX7GNUsX0kP4ptdWOM5UU2s5kWMDk1QSk9DrPs1G5zJnVZaJumoRu7BxbPf+AN6N
nnRxBah1biEjoUaeg+3QOpvgnvYqaDPiqtno1jD7U7uPeDCEA9J+WGlWP3TOgO+TWMFcg53O+whz
PdfXhVdgMLCk8pKpm8esE33zmbhN52KRpi3/4JCi7oLOiYx9YYeZ297WofYUbO4woyeVpIAmBA5D
fy6pSctzrqqYXpMeZWwR9qUH99X3VnSRKqvqglyHYDPAG2vMRZaFoL/y0miqYzeNg65HaDHUNqz7
gTEuhR3G/OK7V/rMXVz/cPJ/BOCPZTUoGcXPbwf89eu/7ssc/v3+orn//OX65YL/+e3i51sJf/up
2apc18Pp7Q+ttfk1FijzrN2avtj45RWV8gZZ8uMlh29cfJtJ+dVfec00QDtP6sCfF078Ljrlx3s5
fnJsm4I/GZV1S5M1IcYYBKnwHwjefjEqcC7Tg+ag1MNwyNpZn6d/ZlTgxRzOulEddHcHswd0B1z6
yajAsWxoWQa57fVbdqA8if0JowJczFZ0tK5QXh/yZh4C3xd6xW/GHUXktm3WuuUVQlk0r6JwFkeW
KxTtzhreDn7XEH3eN6ScUTTSmdc310ViQ8BZ5F+VTcpAW3qeDbEz8Si83zDqGBWJHdd+E9ujSKyO
BLFxLcFrNgZW1+fXdeQ9xM6o/FZR6vdoPIN981w59twtPTCXVjyrh+ohdKPSH2v3YlSDmfAybefw
csvTKE9qWLDO6ejKXEQ2v2DE/hA5VSOMdG+8jqdBoeSNQWoJhGYB5in62OZOJToIY8Fx462ftuMF
K/hDH8L+jin95GXlA+vbMy/F5x3P7i0nvzBuV/lgyj8UKkTCwuCSh90ZH+3bokimOLI+E9n7UR1N
Daq5r1V1XvHyE7y/8pLGeSJip5+1vVMImBRLk7laFH0WC4ubiWRjLHCfZQFVPQOftR4mrls0k7Zt
B4jK8ivV9eBPRHRexkSKvmsuu6xtRDR2eOakZpqw+rZP28R3Ulz4Fhmvacgeianu02aYgj3KBY2K
695m0yHOFxK2dxFyfc0a/iGuw2hS2cMnJjVEgp1TBUDqpn5WyHJK5aCDgvCZUeON6gs+xXF22uNs
FY85bA+GfGCxwrCdkdBnpXeVtJxcZiGf9250V1/a8YI1yToUPGNDkviQ051K3pbCrsF0mzGZGGpa
MOXup5ixSDR1QURWyhnOi0KkefmYclYGiRkSQWo8zVwwzCiaDGaYy6FNRJ4nX5WiKzgPvepKFM2j
2r5cb2p9W0dARLT5JBky+yN1UvDfB5cIHkq/LOrT3GGLzMHgKcZT5UbpFEMQMRn6nvgkYsPMbaqS
i8JpzKRrrRtZdU/emHbKd5BMfKTq2VjbWnBTn9pWTfzaruYeK2NRkjAB54+7ARzQnRMrKmal6pfg
3t5LVAatzifIID+CqQvzyHsoaUv9uDbtXW3jeiK9qJ+kvBlgIkBcj8cGT0xWJYI62a3XAk1HQiqA
hFkUHjsPW41FnqokyKIE1gXPmombVHhK65IIeFsEmloZzXwE++TZQIqb0IofadTZNybMb11lI7Gm
ZBaVhnuJTQd+wNhMtF1mIkLjVVnCSknyvhc0rq5D7pzHOUJBhRJbsAQeYMG+GINPdXkjbbsSSrnX
rpuHi56Vl32YdaI13alHyidbZ5Woh2SZ23k14alOA6u30qAaYX50Tg0kXe1EQTxaMzr4yfiFRPSp
VedJstBlN5FlPfh1CNOgzcPlsHZSyVBfhGOKRUGtu76y5wWOLYg2449WlK7SBpYMKUqY25Uz1V69
yK28Eh6wLrDZZ/dAfnzz2rLzox7mHc34zIa3y05s4HyEVY1GtFFdnFukdy5wkd9bMq8v+xaCCQj3
kwn3xjDox9bymzAs/UihEpzx9qJVqSsgGktE5sm7WMFsduwIL1SWxBM7BMQhxACibhhvyrBiAo8U
C523o18N1i2tVRMg+CYRj3UorJYBxZCm4bQdTBKUtbHnMeDV2vFpChG5aGh9k9v0LCv1HQrRfejI
MsCkPQ3hrOmEjmMvhS6VSq6qHqtPqefobsJ0wRJfN8lZ07TJ6JuW5mQqu7AI6kTqz64Xxfb5QTyH
/3s+AQF28ddri1/5BD9b4Lx2CdZyL1wC2NU9oI5hh4dyBmDpf7kEGIqOXTgkyhgUmoJj8B+XAMqR
4WVdkGwAtoPDaD/9AQfe/QHJAuTZnEBjHviin77PhoMHWaXn319mWPi6DdcGWwpdItZM6fr8IpQ+
Q9X7pj+QV5ldDtDf6TKnYzutUGgHJeKfuRtNSt48EMM+pONNOLQzMM8TUrs3jYk+hNmYgtfNqV/Z
aVAXwwU7TyLrkXbphxxCnABTlcwgIvzKDHCSQwdBSJ7MUVR0ftWUUwer0I/bBKgFhL9YRVt9xaaQ
goJFmSS2DKdjnMw7qdg8jNRpAZStSGj8kDvleTF4n0fLiKxyld/Jejkk6Y0X06Vi+BOsYOIz01+Y
Fpi2AeLXoKrXK2GIhJOX7cOA3C/SVPKsqHA4AUqSBahKPqRN9gUNfFzYebQItVVOmTvOx5p8AXN+
6RXKHxi/89QsHdGk9kolnKT70MTysyuteYfKB62s6JSTKvC07edFe4kTNAWX/LIf5CXwpX49qFQA
R/FUVuYKAoRa1Ky79GRHRSnJwi6nSW1EPJQ+IXdRfaH4tDLp55rEtQAVZ1qPTBjcBpmdaWEcFftp
QtwPoR2K0tF63jLgVMKOzpLQOmd52c1LA95PKJtJVya3EOicM1SOU5vFlg8mcl7DCweVFXeBIboS
sUJALI6x77TN9eB6c5QgJhAQabO4oCsjpX2aFfB9WeZrJxqFx9VXNA4yAFrsPAaCt9TJsmehJ9yG
n3dGXmWVd5lXdsASxxblkJx3UQxEJg845BKEsXsWZMhpRREPNTg7Ze+zrsUiS+1aQDiofSlN7kte
wWSTwPaZfLz2DF86lbWILGmmjSZ+iKxBEDLcdJxpn2Pps5o+DiSpfbtObgucJ0EMyFkV/eCUnajz
TE0QZM3OawsvMre8qJL+S5v3H2Otv1a12wFTPQDTxVgpyqRJ/EHhPEgTswAzDft7nT40UlVidLnn
yzi/CbVNwcns5zk25VRFtBDjANFiWi4oAV8i4e43wANYi+rKVvE0ZWjm4AwBG5mLqgWfZcjoXTIW
XzIszwzuLsqRQMxsitNQm3ME1D7Jm1FkqFq4rfs10dHCi6MZ0IqZYK6+77S8qxrrgyzZAhXlaaPs
VcnYIkXRlYWKL4XOPrC0hoc6duc2VWe0KS+aNoVsQdrfZHk760N5bjcsKMZuXnnlAit76gz2vI7i
08hGsPEP9KzKurNOo2tg97NpMwKvGJlPHY9boe1xCpmWq6rJgGke+anyyK0jq7NUtnM7HRq4w7xZ
JC25spG6iCp+VVTto5YDF25E7nSpH6KiPgv75AICiSCOhtsCZUiksOjTDJI0nXyIUj5zonKeM+ku
BqeYsbaLYXaYC1p40ofc3Y2dRAubkZvcakPwb2o/btSi9dAn1HeZD9xZFnikue1i57xRbQSkEOQg
ijH/BHTrnDct7NImIP0I275bXNCMfRldb9ZZ3cR43TST7edCNXPtoG+jjhohJZmMOvwkIdwDx3ME
bv6WSDP4mdtlZOqWDti+ntJTy87HiWLZmRc157aXLnrTmLVzeAa5nSu7zc5CIFdEUkYXXWjn4CMW
X1tpXGGp7NJC3qwuvUsFnBfQk/00rxGeSAd/lLg577H9QFPrEofJ3biGkLrO1wr3sBqjCSXdGYQu
Dz1qryjGlyjtgxiI+IkauiWx2OjLKpKwTqqgNoCFws60aCI5q938S0XpxeBBJGGkmqdlMksLYCk0
wx/h9RenNXA+cZwEjrZugJDHPrHvedRMpBy/Jhm/Gx0TnReQhFmgKLyt8uLCKlAowjqb2KPzBVds
xkkobNo588QwewKkIZmnvQ1rOVql4BAJXpTobODDOfBaBJI34OchSWe8dpSASVH5pHeVYBGa67z5
pDt5Vxfj+dBE96HS88IaIwil3I9FJ2dwz/fRkD2YOm6BIL1O0zRIUOuThA1gVvqZY5dXnYnAgx91
4LJ2bmXjzIzuQml2M2Z4riIPHg2+smrgOeN2uGkbcgeJUXeCcFEHrupS0eLupqLsQmew308ybZFs
AukX+dHJpQHjz/gZKUIpcjdrp3HNRF6PXEi3hdU5nteSDwISg0oMQwVM8TDjUeFdu7njity0xWS0
ZC1IW0sRtW0vWnhlbBvB42QQoMIO44gYGhUEFcl8IJV853sWy5JBDwkmUbZee5pkfS5qa/hWKL1w
YBWDo1qkPk0UFkz27sTJsoe2jAhEUkwFUD1QQDyouSXyhOW+yqPzDpvqqqix+ZRgbmIBgb01bdzO
udFdMZ5m7lhR0WW2K8GRt/Gk6sbs/7N3Zst529q2fpXzAkyBPXC52fytesmypBuWGwkkQQIkwAbk
059Be3lF8fJKKrvOzanKXVKy9DckgTnH+MZEBvXvYvb1aeqqG4+KXWBRYXvrY9sXd7zX57GHERT7
MvUaOubS7Z+KGa5LzOdcu8Ykk7D7MSgEVNHh81SPqSvoc1D4l9O8YJOpsnacdkMRJpVvHjpClozG
5SesrI/E14diLq9JaF+L2j+3K74mVlY5biSVGsd/6tbwHFftZVE1fhrBYqwbsYNZc5pGbNF6GWkW
6eK6JmEGVfRuQF4pidv12PHoIrTVwdVrwkV3bNmchIoI4BSCp1HtQ5to7weLDUMtS4Z290E2s0xb
R5xJNR8JcS6RKU5RCu092x8BM+wdUR553J95N3yEvnRupAvbBjutT3eCdl+Kes1rwW9tgUphCbt8
Lcoc84vSsB9e25JdOFKmBjedteN5ZM2XyCd8Y2GOilR32qvzyKtSFtRL4rfRobTk3ginTwbpOClY
kGSJeb7qeVegDWVFTZKRmd1Qu4d29J4mGqRNDUoldGBixs6C0qKHN9v0WN3FUwM9n7shHD3t5Qzt
WTLy5uh09SNjxd6n6w2B25qIwX1YZvSvdfdRQSjL0J1UaIWqr4VWU2rhXeRD6V/NIbkquP9iyRDl
Vd2hu4r3NauOrCJsx3lxnsT62i3h1dC5+MRzA0vRw83C1RymM41n1FKdmxdLRK+Vq04yGHPV0Aj6
FLltAueiGeyaOtzfGePopAhLN9GGtIdyiZ7DuV7uGVaaTDT2wlo6QsxSH2243nZO9Ox5dbHrqv6J
TChfgBzshJmaVBp8alq4B7YtPT3sy0mx8sDRHaZhJy47OAeCO+u14+lz5/Ie7oKxWa/bt8m1BiVi
L7MA/7eIJXOn/p5XFob/2h7n2KuTZRgvVr3t2mHwZF08aDWhPNOWQQ5fAkAp1ZWAvxFAkDvG5Wou
ukJH0Jj9jx5vAD7o4paZ5plUaKa3xz3yJ1jAEru50JP/TMvhXnbBrTvb6oL5Eg5Td+QdefA4KhoV
EqhH455D4yCtuOg52Y9xoBMetm8jhaAA4iHnPn0QgzpVQ30WU4Q6c7a58Yanxe3vmO1lIrv4qnb5
VRvXuyYOlrO09WPfsOfA+nc4fEmdQ7+W+cgjtfOG4Hlt2ZEZ10lrUsm9nPCHHShFyq2GDKzMdKib
xkuM7LA78qAl/j2gJg9thNZOkNNmCbw6FX7k5J5bFWudvuv4ftFC/RE3ods0Tags4CCxx2MuH/mp
gfIqQuDpyeq67rpEykuz2oQF93/+IhgK9K5L+/Ei22woyJNggrYu7h18JAqrfceY6posR0deEgfC
YvAwzA9//jJ/5MX+9TIxTjUC+RcAGNvexruXKQhh6AIICnfvbVYfHP+vsJf//BjbqcTIYRE0m+HP
35VhS6RU1DbXcsaNdqDFp7/9/mMabIMR8UVB6f6Jd+OxLFY/7Ntrir4jvAnZd5kDjsSv2+U/iuf/
+f38dK2DSECBwlJ6HbR7p02Fu9NxFkCwfW3q7M8/yi9eCrhZBNAwCClGzPx0KRoKdW5elbgm9WHU
6UCSbpO/U2zDTvcXyNT2tn8nvr59rD9clu0Wf3fZiVsBOIma5rrzU2ZQ0aV4tLCmLtNfsGW/+lDv
r/9PH0rGNVMj/f5CfpXJMrHlDvvIthV3f3Gv/eK5xAQHl/gUu6PveT9hYH4oPYWNV14bkAE4ct3m
YfHlz6/RLx6X9y/x8+22mhC1UkjktaSf6uI5cP4XtzMsnwAMG3i28Jt28+661H0TDoHjyesaK6Af
J83yv1i8gEeCWoH642HCM3yn91deOhL1feSq6zX+NMdXo+wSMvzF2vWri46bOA5xbl4IYvgnx4mV
bSeBf8HkQOG3pLRP3PB20onqstX/izv5F69FN5YZQxNp7EJ/+uPnKQsKka0O5XW59dQQldNyyeM+
Uaix7r5d/P/XZun/b5Lntp+9ewr+Q/L8nwam7lfcyL8j5Zt7+v3X/q14Ypbhdkw1BdlEv8uX/1Y8
MfguBiFOfN8jvrvppD9MUESEEMT2gWwi8YWriB/9ED0xhAd3Dw74iTCWI2C4T/+G6Inu8A8LXkhC
HJqOc2eAVkAiwblCP92S1PKejbQcr2tIgSfasOBSS3umKGXTcNSPUdtCKx/EQaq4WV9LZXrndlzg
2PQrhAZYeRAcO5kMYrkdeHBSplW7voG95q4L8GjhOvuqmYIk6ModF1N5BIMHR6grggSUBC9TNvVy
18ZdM94vvHtmkP0SB0N/YTdZKEadZ4LTZJ31FHbSlkW60KU6jY3IFq9wDoOj3ziT6N4Bo+wXV4ER
dQU7NiOfHjucx3D2qkhcUl8CgdykIZg7OW0XsutcWmWTdkgWT0xmyl/9rGkqL/EiBmoCgoSI9ZD3
HI3J4A270HZXNITCM/mK7aYGxY1TDCCrSjkf9Gyu0J6xFGLms575xeLOeYnuyzPeJQn4eV7RIQ41
vNoKREhSUwp/2aDDwxVOeOHAz9IDfytmFb0saz0Vuz7sywRoKKi90qCO1uNdKfx7WhM5HjsIl8Nt
hXb7AF0hlX0ZHfpwMfI+GgjTSTkW8ZT4cRHsfXeGeRgW4Zsoxvm4jZjYj7BasrWVN0ttrqKgO8mm
vOqJd6aDs1NmPjltlKkVxAWqVALnBALW11l6d9XAnv9ZPLAKgKHADvLf/RLAjMPrz0vH9196t3RA
e93mKxFs2l6EEuHd0kHgTMcYpRj7AP+x+P9IpCBHiuO0AVMDbcDgpghL2I+lY4sJf3vesX+iSGfB
31k6vjky72qlbenYyjLkWzYoIwAh/8cdZuqsAVVa+tfGBiRd7XScl6DP3Nr3Ex31O+V7Y6KH5SP0
DT8zPPiifXoxsEVk4QaO1RZ356DL8wA3O5EEslhNdALZZMysma6sjkwWMK1SpcbPC5PPZQU7vG3u
RFDv5TKcPN+76zv4xXUPXZVhqcBz613IFlwmd+IPRjCVNtjXgXQVH1ZVfwzBqyYA/yCv2/Y65P61
O0c569UpbvqjCFf/uE6FTkfh0XQq7R7Zltyj3RuWr7tx5uFJghMBUPSZVkvCzPposeAlwoPT6YMN
TaKglZnfFSmxakzjrnyc3fFFwMhMS1EevFHJpDOxTtoSkPEwDRK6o38l2v4ErR96kdZv/YT+2zpq
SNeGXlet7tKZ99d1OHUn2w7gsKqCZ3GrBFAzzVMGWfHKRIpA3B/hjPTB+ka9SVxNQfxlrfDlotsu
bz1QXklp9Cu6fnZZq+YYMgeUldctsDUMvTaVbWGrz7hqUJ4TzQeeitZCjOWoT6fajfbVZDmEOUBy
gY35LeG+u1+7mic9r5qklT785XlWSdX6PCdLUx983za5A3l4X5dbWmNF9iCygF2Ign5dFG7m2oUA
5TfVDup6sQtmv8l1O3j7QfltLv36AsvceR3qayHd47DwNata+ob+NUrquA1yx1R+toxLnbtFvOwF
xJac1CXFF+Gi5tE92w81nO/a6nHPPKi1LdeIX4BtvZNzTPdjF5Y5Avaw5UhRZMCC/MT4vnPboL1K
2hWftLcR5APARDvKnSGtl5kmi+Jd7oCYBQInqhOMp3nPvfJh8czNOBKZlw5dEjV0n1UDNaYqI1Da
PQtOHTN+wt0tZbRuX1HlyZfZhPUHCTw4MSWTh2VEpMqzXCVNId3rkJZAYLu1gIQR4zvWznigM9i3
cg5mQMxj9VW0VYy1Oi7yibfOgQz1bgybvCgkQ7YA2YAW3l0Ci7VNaFCPiVPPNNNd26QR3Mfb1bW3
tR3vorkVUClqmEeN11whYDAcwKC+DXL9DMut3EFjGmH5N/qyAk+Y+ptzpfvoGC1zcRE58bSnhQzu
PGd8rJganIwMowVb5VnXTaqx+zLjXcEggAhc1k1iaNnvnWp5cB1IYbbkUUomdpKtF+XzvLgJm0bs
5mZJOkRSwNPzvJLSgY9ADpXvf5hMPaSoIx7avj7FtbyZY5M6Tnxpwpci9s6jiqanRTSvczRc2MBx
EqmR9KLzOF+MwBcOjEFfr3QloF2SCw+vVnbleZqCtx7sNaCU5pLMxE0mFj+uFNGZql5pMpj2q4mR
pwFuf1T1couI4sUYVsh6lJOfyZaqvahc8MVTGWZ2URCpqxi2Av65NF6XxsYPd8uCS+iiSx8dft/Y
4oWo8bkLsDxQ0k1ZLPS5mt1PVkBDN8JHVMMovnNHF7WMj7xRoPOpNpvfAuypMdOlofPHEf56FjvB
DbMxTVQbyyMNQ/zLgYCjEA2snUGdx5ocgGnKdAqKXU1Uf12xYUlqoPiJY1k2WP1qikgk4VRlSEpE
zygf2jBX0l5Kb/iigvgox/AJdGZ4rFo3qfX6GZkSJCeUPeBDN7vSQ9qjddesieKrssYqw5STeHpO
BXMUBEH34PTRYZn7rIY5mDjVfIuM5EXjGR+CavN5gPUaS//K5d3eCfo9R2IC1zS1jYv/Dz+VtKpS
U41vpopvEMEacgjMx6ENynyMm9QJxC0odwd7wZg2/nIuh+a2ZU7mVuVDg9heGUlYXY3MxrZ6aKoh
BWKsE1mYOGmX9VAgxVNtXpmxUI69FGX8azHKJcE+5ix7Qz1Db6pWNCmP5B2ptM7/qY2+10ZoM/57
bfQ/7aevSv+iOMJv/bs4Ir8RKDVeCJEL59C774sjzDdCRRJhoNlPbRX9DbAIwSltIE8jFC8om37U
RhiN5cYQ+4CXfqub4r9VG32Lk/6uI221ESIHBAXSVqVBqf2pNlJduIpwKcw1afwHAWbJM+G5Dcyt
sChX5g1r4gTLshsc6mWps3ZDn4oNghrsWCSk74DUL1jZEQK5IwEWvrKL3WQOhigxqwvGc6PIGP6W
jFWZN8DgjoxrL+nK5l5vUNYqFU1cZS+dHsBWK2sUERvE5diwyBDlqfNm8hzUZ3N/RUB9xWi5LuNp
lRe15w2JijxwCAWMU2/jxQxaIrohZFGJjWjV8qGUFP3SxpkROGg9DMmCDhyrlIvlKGhfkSd8RBbL
SRovPChga87GrxW9uVw3om0N+WewOHXSh+OSamBvUh9r98LdULjyk/bTgfGDUih0ZtiLSb+xczHW
8Uw2VmTearq8A2IHYbBL7KC/joDvYMjNCSP4QHoqjgaA3uLEXbLI3FkvRrB7NqAvIVg+tUF9bME6
ycD5aa7xGAP8CyaKVLV1r0WkNyhwzF1KcEn8GJQJ5+YYbxAhElZ33oYVMvCFFpyhkRQBiw09rNzS
3XkbjmjiCcZOpMe8K9SQNxu2WIgZvgqhFx6IxmWsggTkSlZTCaDVgBzd8MfeRySUGjTYEUNWDyJ7
n/MNmOQDwaIIhpI7qgYm0+17Up+MiB8Ctn5yN/SyXUQykCGvp5JlyitF0iGjlXSgNWcYToCB+pPv
4rOsIDqZ38ILKFxJbrpgkPe0AMpLtQEHAQ0s0F8qNQO2mJwb3OCfmKpUolEHnkrhPul+utSoNTMH
lUQGbOcVnO7rFC/LzgwW7KOhxQGxr88tHlGU2x74HHThIO/G+9Dj5txScprq+rlb2XntXfSXqtyr
2bno4fcmhgCdHXjhJkoUc6KNuRrqFY/P9FDy4nNfxvQgfQTtaqe9h8wN7dQbP/Z+fBT9wA80hOey
wIRRS9TuqJHHiIcfdEnKE8rtKBH1eo+/OV/0cKyQu1EqH3ik028Zqwlowc5l28WzgDNJVESZWwQf
jaqBba/jmBgj5cl4o4W1jA29XOD8NaZBsW6NeuKk4AdZlvqmjkIUXn6fWbm4Ozq2j9Rb64QPJWIt
Nco8T1W4QJ3Mi6YGh1qJCk/74B1NtZG1dVRm2huPZKXk2FO4WG7R7CO8F8BS/pJgWRwS2pob1D9r
onp5CIb+UDtRVqt1QARygHbSOC6etGBIEcGyyRKUcca4yYbARYgO/4FN9KbmLFFm+uDa+hzq8aT8
5YoF+n6KgV2vpt2XTiES2RZrIoV7NdkRcA3gbpDvN20w3go+P1JhL027PpkiiBOBEQBJq+pHxGRP
gSWHxZiHAQJ/0o+SJKj7/YTBShSmz2Oi1a5dgIh72l4W2r8VEmqlnV244t3JG0eZLGZ8C8LipeLu
NbLIV4hO3/R13Kd0Mp+LIoS7KtanpkRNHfSU5siJvZg2RmcDqjgZvO5BlcHZOp3KpwZ3DezlRTz6
Yx0eKgADIPs3hLRUSHluUOk/W/i3LTz8U3nj+wmj/7mFb7/1YwvHcRAMB39AcMd8OoajM3/XNzBR
BTlwzBxG1RxBlfxd3/Cj3yA24DCgbSAHzvDbpI8fe/jGg+L4c8zjiAPf3QInf0MaBY7/kzSKF95S
JngPGPlBGYEI+94R4EVPkPVS49UKSj+x1fgCVAiuvRjQZ00NwnTNx9AFYr+oAuMdAMuF7mxSLaeb
1qhjzFB5Gix36GB6ZEWqcznWlwArZ2Dz1T3GdHydyCRSR20RZ2duASx6wN36NikIQr+tAV1iycd5
jV6ggT6xni/IA7IAHg7qauasO1j3Tt7PZYmnBzkTDu++AmQQUvnSLerDhPgf2k/TpUUUPep+OEor
Pw7M+VhIFMNRfO371eUkyotBVS9G0TapWHyDdOyXhnGat/hg8A6qaO95IOlc9QzddMkDhGTxZxeR
9s18oGz+sHidzvkw74JgBTRW+zPidtADhEO/gjIKM9pEF2ZoHsDFiJTyMA8FvVMV+9obdlOFFtRi
DyyVbFx/Mc8Y9zA9ESG/FIN6Lnrv2ij5BQoUgy6jeT6iaT+YuL3hHTtUpUnAur003jDlXUO7bI5E
k8yd+jK77FI4wNhaBBOTzvPXbAlatqv6SafMjS9AsJz6oLiQHGBO1endouYd0fOJM3bgXni3rNNb
FdSvcasf/IrvC399avnaZiTGm8RFYkSHyTyDfvRIDSLJ9tFtNJnLktm3BhZfVjhkrwCsp6OuEUsk
3seAh3fBAKqSVuIh4N4bmo7puFTbr4fjuAv88alFe29U2SVRGO2QREcHNg71PoqaZxXUYud145VX
bhSCQJ8DBClMSOAk0Sp2JEZRiIE1+34o1YbjTAly7EsOQWVOPTC+Y7C1jivdIQRj9oXpzlUB9Wlt
BfiJuliScF7v4ibczzLcjX0AdnTFVBQkXjUcMetCoDOIYIy448J4dpApx028GFzD1usQ39TrveIa
ryrpjhfTDhMR7lfqn6pZ+EnsNTIxiOFkHDUruC3xZVD2CUHFIYmj7jNxwRNLVSB+hHpsJtUh6rWT
Kqc8EOnUmRMLmRKi9hE0I8Syx9QQhx2GcgbHM9FXRKQuqMV0ls6Ak0GIHHs/kCNvBDPGW/tB9eGp
8DSyAkh3J5E/fDYj61Ki3SgJ1m69aW3knQMpZGZDn/Fj44GnzoSYP4LW0lOuHVNWj/gaiuHaGzYs
K6pCfxcVLZEP6CVBxQZDBzePaUSYU5e28Y1TlFV0s/RVeeP3lj9DBMlNg1soCcqguOqgDQH7Gzeg
MSEhP5Qx4/dlT5yUs9Deoog+Fbyv/BwJLj9MYBuvmaWR6Y9jTArofZUd4MUQH4F1s/ipOze3gAts
vye17z2JGRzDZSO7EetMU7qZjeIvhI/AeUW06HbdBg+wNS+QLUMmp/Ji/kAw6ME8e4Cfiqz0V6/M
etJGxYsIqzK4JJ5uUdgjEdel/2yX37ZLAsf8v3e8GAAymk//uV1uv/Vju8SpaDELCYIJmLsEmQ4b
3zs7AE0mARyBVvObJ/jDDvDZb3AQ8SO0oyEGtm8jf39sl/Q3zO6JYEEiR7y1w+xvbZdbMPNnO4C4
OL8eruQ2Q5puP39n0du54AjXF8G1WLt4Oa6Rav3PU+kPxTWC237bQt53PJAumzIzlvdLwINEwHxC
6G4kiVtEFWjJXuQjG4LMhC05kFlAqbM+9PhJfXKXlaeQ2D6tPUix1segJRCp56blyM0X9U3dI63M
iyHvWhMkE0Vimi4rVEIGH0GMboGhImJKZqed8lIPDfDf4QyfnyVuXH2c3Oi28kFSN61Olc3ktO6r
fkCqi7SAr2t1u6LQVZE6Ij4GvLJRSGwMgEsZMtzQD9dPrNa3UdSTwwjtEhWud+ORobkcg1XtMCZB
Zl7RKEwo6d/8gn8a63EAARnnw/KKyGOYLXj4JsfnWQNA2HrBx05y9ELIYh4Cg7k02kcqU3RumfgK
MVXQ2Dp1J3v216rOPb2+jrTYjWo6u2zeuzGMyU7tjW9yjUEq0HMnaKdID4Buex0gZokZBT0jCbwZ
5EgQ8AgxXmXkBbzDeEgnCGJ0U8aapjtgZ8itqh8aSGfDIG87Tc4lJDXkspHuD9vbCZd03FQ3Yist
94Pj0h2NupMbtp+lKdEXx8UFVN0LzNqQaQBFOzoBVNG3roXi/1Lrhnu58RWXt846LN2+daGycSLI
E7xQppJoEl88LLO2xEZeeeMXZspd7DEOuhE/rsb5FVq/SWtjWdIifjAs5VUgC5ojd7vssBW+zQ6k
vZouzyj7HobV3rqT+4KJTCfkQJ6rqWZpFBo/j3nwtfLsaSZ8eWnKXiTwxTEDCUQunbCrhQRNVqhv
MYjgEGvqXGAy0MNS4WPBwIZiwul1YYGh0nJF0xJmYwnaORQRywdsWYc1fnNrFWCsxvA4DZipgEyI
lzWY8SE48/ehU2FkD4YfdW6YaUwfQ3VYfuGiX9NmXNYdnSHj1Avfe455rmZ1UHhsUkklWMsFnX5s
VvSyQFdczA+wc1Cgo3dulsJ50gM5RR2Y6NqrP4RFyTEhxYuhZaCTxMglTAQ4NLGIoREAD0V2LgGr
gvkUFCR1JN5MiUBDG3yaDCT+Bl2sWOor9PbnzochjjDsWWLYTOL5/pTWaAF1WZXY06Z531sMEgDE
6iYew9R7wMormPu2CY/E8Gdf+N396kRg+EqKMUte+CF2ynsLYYqw+akvg+rYley4WgQiOO3OhTJP
EdwEjCe7dxDrKH167TBzW5LotQvWq7bd+Hzcm2u0rFnnyjHDrKa7aYIaj/EWfKz2ui5ZLiyTCZ6e
6MVM5lh69XhXUBCgQHh3cLzOEUrDf8Tcfw0LQGP0Z1ubHL5Nxcbpkr/Y4PC77za40MdRQnCaXcw0
p+/6we1MsQCd3b/E2c3U/oHKUBw6uDFtoYcjgsFRvtvgYhwNDGcDfMt3vffvbXCbf//TBsc2VRd/
E5QrcB68v/cbHGvjlUlIRtfNVGFWVqp7RU4NQicnCWsZ2aao/bDUHPKndS6oRPi2DlvsNzU4a+lg
hxvqB8uHs6D2fiL2Yikgf3ZlxBKM0cA8lGo9sWp4nNvlKm79Y1hFyOoWKumpQajV4vEdo9S2/bFa
ETZuUTViy2UItzO7xzyBN5/yIZ2/ERuVWFLM3PByvTHtKw12Y11TrLxb42jK5yWCMmKaYMnh+aCb
0d1DEEHbCkbHQ7Cep363knSZhyTg/YSWtvjYMBfhuAharQEXWc2fo1EkddG36HrjL9BjqnSKqqeo
tyaJ4ujoW4r1A5YkBjc9RTzY07hbt0zersSalPimPaDvCREJoAdjQRktwYT2dbKf0XV+bgd7TRTi
foj8P4Nyr9I2EHsh7BFGKJIYdtYYywgTifLuKycBLDZXPnUqRHZ889/QLr1GhbdeGbF8qrqwOKNw
wOS40GsTWIy5I6l758GHzwLMHUurbUKNwuaxn2dxdsN+QjYYQxrgZelhh/l36RrE1cbdq12z+CRt
MIYspyUiypytKhk9aS6Rp7SZwKKNtFPVZUUDnHMAogEBU5SwwDEbbSFVkUtiqjPi8c0evfNw74XT
+ghpvkTaFPOEBDqDSwiX8W6dhXhWGiIajMPoCenL9s5ot78pEV04Ulfbi54hYDotjTph3o+GpxsE
9UUxy24bd2UR7FrBg68tKT5bhDMp5rM4/VF65FYo5uZlOXcfyIIvfl9QL3pxasbfAopYfbtRSfOw
jLkAqLS08ALQT43JtFFMRmOQFLCmASusBebUA3cywJ7Ixj85/XilNyKq2NiomCCcM268VLyRUwEQ
qmBjqfqWIAq40VXArDAnjSPEBK1CbgxWtNFYayDcTG2EVryxWuobtgXVBMmYjeMC0aU2tgtW//TI
MG3tGKHCTsqNAXMoaDDEGN7sxoe1XY1eCcTYP33K9z4FTtV/X8yz1+b/XOGWf/3FSo5f/PdK7v+G
hx4zXGCxfeMe37UqOMwANw+6GGTA0ZpgEf1BLnk4loSgjfk2N5t4Pnqff7UqOKDIp3DTsJJHPnaB
vwc9Yov5wzoeUADEGxdPoSwGoO//uI4PxVibZpXejYRRTUR1EXMEv6Ylf/fN3Hw3+94Hyr1vHc/v
JiA+CWb5b1uW6zOMScUoxT++EAYoCnAbYr4JQ5RjA+Z1BXm4jqe2wkAj5XGB4XEx3OhBXbNlvOhF
9yH2NMaLwURJZ4whzIV2xXnSIcvwDGGW6DIgHxR2oA5m/TSbrktbWqJi34Cj0jT3HV4w9brmBmQ+
6psYOXLae4jkYewWckrtBrPQc9/alAG1SiUmXGUsjADpCLkrommHwcNDNq5Y642wqCeDjw6NEc4a
WYKP+YScnEox2uUeoyXunNZeOQ5CRxVB8GeGgY/xu0cM5Lqai5ZjDXE/oGZroOpNU+ZtFeE4DbeY
67Wbg/Ejo/rV4/ELb5dnvQ1YEWOMdmOpbkJdnJE+q3ZxHB4iVui9KTWukNYfVMQPFQ142pTlGYDb
Z8ThxW5qSYdlYwGxomyXOeNGzWDExc4d1he3bbfVu74OKBbmpcHEvs7P+ki8jLH7QRt+qWw7Jspd
7uJ+3KOaOGCmigM0C8MW58BHwhDzUtPSC++dpWvSduhpGrMXNmC2iW+zsccuZcZAJLghEJf0Y1w/
BETj8Y0uwGBJFF4604h6V4IM69E1uvFy5c2Y+LagTZ1Lt9oJt7nBgLV65/vzfm2DS2S6OALuwZ5B
IgbjI1AgR+GEAD97QQlygIFxp+S6ZP5qHpE4XVOOYVuJPzT3Zh6PbiimTPvkC8Eg6oTPy2NTVeHe
+uu1Z+GAmbKeMBdMf3Ub76uHfG4qrHtQDTvCInfRGs57IHS3LSanWkx1voj9VaZRI7+sdfdUxtC1
2kg9oCmrs6CPxWEeEUWNIS/6xQ6EDMZ+4RaDKxfMJWaOlf0niTiv3q3UQSA4jKxOXGKRh04WT2PQ
XDAj6wU5bOfSecNhtD01TQhLaHFTUmCiSOB/nQk7Iue7m1al4WRB1nwUob9BO7NL1iSstl7LuhXC
6d7RR6jLBf82bONzaP8J0sKdK5xXynCZerQLCncjMK0J9ZgZYAHOmZqFe3TaEMDZPF1QjU4dKSP8
XeiNk5mqDSien6M6Nrnl3SWvSIGghoWcsc3ZQ7ysFtk0mMM8D08YI4vhJ6xOp5pgHKG6FBEeWV+K
GzQ458ZxjmsDvq7kZZmvdgEJichfNGM4bD3XPiaruXcYfLm3angVEB1SOwJairqnWefw6Y9loP8v
e+e1HLmxdelXmReAAgkk3G0VypIsFr25QZBsEt57PP18YJ+WSHarFZr4L2ZiTsiEFBKJMkDmzr3X
+hYERGULhuFpiNTHyaAVbyVQ78bkMZFXXV8jH2v3Re4vEkYCEcgGbQ3KhtkBVAVwt70ut52mrytB
izicim6jW1GzVgUCRr+Tj5kUUCjznu51VS1kX2xakZ3THH+ocrrY4ShvwXfbZ4UCaPV6Lo98W1be
NtdSvDL/sIx+HsPMqyjbheRUPhM+VEGb6lPZXde1LnEujsd+XFoLufH2w1V+toswjT9ld8Uq3jEX
X3gnHIxbN9rou99ff1ZqfF7Eubxjse+gJp0z8D5fvvJao1PMdjp21lPh7Ry1WTjDo5Kni39/HQgf
yHoxoUg6dZ+v4zTsWSG8w6MIT2GNL5LklfYzGvF/uM7n3e/7x8nnyR6ITc9idv/5OiXsJqMVgXo0
jZPKxOcEzUfe/f69yF99Zx/fzJeLtIGq1lo8f2jr+pbh/6rbqt9sd1ZXnKXcY4vLaoUEdq1tbw62
mywO3Vm4vq1X3uoi2veLLcX9aePyP7r5mr9Wt79/fdpn18P3D2G2O5CShkMO3P/nDyGB2UyHSRVH
dMIH70JdqWfizt8zIQF34I6L/YPYDMtDue63hrFMT+i5XSCgXPeL5L8N7/90BfjM/76QXCX/y80r
ZF6/KCT5wR+FJHNgnC4IqXTJzvm5JSD+AFmtYjTVCN+g0PyzkKTnTQ0pqTwxV1JGzp3yv3rerCdM
cw2EOzho/h1CELUZ98lfiwMyL3LtcYISmIhuhg7Fl/uo9L3BUESHzEvmt/2s8+gQfCiUvgsrqqsj
RHHUIGyW94YsmqVjYBBvLAXSR4oEvVa6bD/5SNcJUKjY6uQdrDCLKZzN8R0f3HqSqL3Tmf1LUYT1
Ubb5qvScblnO+pUIIQvMZNoEgx3QHrBuHMQu7CrZ2pwQMFkIYXgW/G2FNKYJhzuvp9PWRcVVlQcI
jJTQ2QrVf8E5fD3o6glS5kOuBpzYZu2NWkViPRoCqDjCnARyxDgrdXIkO2DmHrxG2zdmUcNkbq9U
4Atrv4R33fboPNB3P5u0HrbNrAaq4D+vnXx4NXPzlQl+5KJwbt0aEZEz6PeYE7M9tJQcu4r9pHXB
RTArj3iZL06WnscGYli9s5ZKgGP2dqD7uWLp2cTCyzdGYT4hWF37OcJODyTaZKSvZiJWAz0MkSfF
RirBN6vqLxkK+1v6CPAjOgMAcz9NbhQq5qpVhnMrgDwU+tpt6Nlnne4hrdMEw1Nh53i0e2TmWbxJ
un6nm80jxGE85npTb1oaM9Mk+xNbHW/tBD31cag5DBe46ZHjsiU6p4FSvE1tYCBG6aJVHbUguoeZ
WTolwyYNATmWIZ7GohyDCz3WbpCmogqCI77V7GAx+bH+MKnW7Hh1nPa6NRP/QAu+2E9qWsGPVeJt
YeSrPlIvBQA7igwbSSAkw0Wshrcz4RCVdWsvdAWqmu6DeCnMYnCNHBSVouRHP/K8hVnTUDbVa1jz
aBMjtHQtB6PE3Ms24yOmQeRFw11hhN8sPT31lAg5kACh01dNurCU9kmmNRw7qT9A+XikvDYWwrc2
oyNz+lvRVlPhI1p57Q7ttFY0mEDz+BnchjtEFnq++NT0LDIKSAshG+EqnbI3daaJdK1tMgEfESzH
YLQ7JXoRpnJvaAing+EyCZrTsVOuwWY+NmyXHBIcJEbKSTlUB1X3boYsOhn7lG/L0279lBZ+UHnX
sPFPmohPqNB8udYL6tYYk3SmyQfP6m9MVYAXYjqNvIuS2grV51o6l30VHXwUApo3KyGt7rwX8lIf
eS+pF15UtdjhAlwiWNn7aBBbsz8pFOPZH5vb+bjiZwZmDOM8CKetXkE6UhGNxfV4b7S2vQEXli7i
kKEMy1yx8EuFLt2sGPfguy+7sLqv6nSvO91ZrGu7QJ1u2wx3QwddbFnq/a6ojDm1YfZ5KMklZohn
YgBQTsdJtZhMezMDg1fIm+0Veop6Re8yXTPw3U4S3EQEjQwKd7EcalRqGm6PecVllRL5KpbdMW85
gWh49tYtpBdfRZ8nmIGofASsSRf6aJ5FrfNimAymCsu80Ux5pssyWuot4v1uLOhrzUtcFUxu56tX
mpPBOghgXBZ1ihQg3yPpSbYpYEiRNIA+ceHCDBnu2sm/Eqp8tlLGUL5mn2Ee9Da+ryhrzu+XwsI/
U/qxgJ9tPWugRlYiS+yFNIvVqINRT0NNzgOfdYxAvGom7yoqQR6ElbjOwi5btEz9XopAOZiAoFeY
3i77MLzrg+68AlQBaeZtogReNbBPcV6oOGHKggCY2lAYGNZTepdiMfLPJg1ZTmN2+YoG9olhV9fO
LDurZgEaERqP+RQ6q0J2OhbJ6d7rEKBZXQ0MTimXU1sdZZgcApRtOgq3AaWbmCVvelbtk0lbxb4E
m9MYFyjczloHRr45C+YilHM2CjpVoUVZzaI6o/cQg0zttY7eLvToS6O/i2YhXmzas+tgundmjV45
3qYGZJ4+OnI/8CGg5ktR9U0Grcxm9vB0agbLAunf4IDAQAsozHpPpMOJVIebTKPfjGbQRDtYODKj
/cpTPcsKrcTkWDZLDR2TTl44yw8zFYkia6zbh8U2Q6FYzVJFC82iH5mgO2YZIwIq8Jrv0sYi2k2z
2FGJwa+/yx9nISQ+L22HOyN0nVkmmc+CyVhFwYGrUSz8gTbBLKt8L0b+f3c0I5mjQvn7qmyNpSP7
VUnGT/1Zktl/gPYwSH+3kA6oMyXxTxkCVGcGb1RdJvK89witH1Ma6w/+HaWBeG/fvVdrP0oyA68z
Sm/LsDQaZpik/40MwfpZhuAw7nEQ/1tASDA6fjkuximeraHxrANj2L3flF121vTaaC6jtCsKIhPC
dtrYPUQ9kHP+cAuVBptu7mSYfpooeBj0+orMh9ENanhQfdNu6G+7nMPpTKiZRlM6MRe5Ez1jAYXS
mBnhalRqQO/g2PFlNvRJlAcCBi5xId71bS7iiwYb4BUOsa2DwCezPMwoPMm+GiqH2MtsOHxdieNN
8R/GogmO3rtcKEhG62hkNs0WyaheX5jv4iLjXWhkEjyy9lin+lX9LkUq32VJLRsxoS6IleJ32VId
5+jjomhkC67OSKjY961xafhyxEaT3apTcv2uBkNp9qLNUGkzaBm9YOyumoj1TH8OZlJ/pciD2Wpw
oodbOI/GUqcgVDrFVVKWAH9mKcuiEK4NzAj6jCVXQgZ3oHtt+kQxdFvjKrb78ygiO2tUwm+aY12n
rXxVZRSu6pQPxbCbC0uP2ftgGW97fv9C84v4cdR99sk+3KoTPZpybrWliX1dJkJb54i0mBg0ymKI
tG3QEN/RdZWb9uFOD3Qcz2kA07iyJvTkcbYCgkigiDru9UK78LQ2XSIcZ+QgtW0e02hC3tUvnXHQ
dmMnaBK26jc1d1y7rcGMeIYHp7jepJnz5Af5ielYJ7WOACO0MZTpk3NlefiqHIIRBk/5ZjhoM9Vh
V3jFwa+w3mEpdYtqMrdpNg9QvOKtyenMmGjiFq2SvvToBZnjZPfc0g2T8s7amnPpz+11IQWEq8bO
D40RKdSN3pHImAvof3QmA3HpFQCrWnbUhTpUxhKTKORHNt3AyO/bSAMu4Tf7hm+wqds1lvJwMxhy
Yh8p89WUyV3ajedDadyJujk4TXgdNcRVhWp9m/rB5Zwg4RZquxG+qexYtPVFF1SXo+Vd44m7mMqW
R0Qw7MLujs41DGE1Vd6x9abtmHgKQ0DlpSqVwFVlEW9Gg01qEk6y7FsGfr5RMxRUpUtgxrTPASFG
ZJ6sc9uYyaiZvky7pMHD2Z+C+v6GNX8fIn1D8xOemVHBrFC1TjCzi43qEIIwogISPACuFNFTpRb9
enSac6eS950SwJfkzlpEY2rCQdTf0hGGZFzkl+1ULJvWQv2C2d6y5myhLMdlGHc3Wj9lW0Vyd3pz
SVcn4WsyahObo3Vv9MaVRg9z1+UxXedK23FM1F3dtk+DDk+tiRB9qaZSrvsyOg990zWV+DJNuoMf
cG/3gYWXJ4pXYeocIUqVazPhPNEXPZ1paHeLMjOve8HkVa3UN0+Tj2j7XlTd2JW9zj7vo/f0FO1V
1sptHSE+TdP0Nu0bbaU57dU4NmITmulDPsoTAGUjXC7UIWAULDmYF3pkFxYyJHUECls+6z3sA82A
7zZbZVqjPDOVoVlNMaerbnqudO2hhCuzdVREJgXy4AktpWs3AczvCk8scLZsAbThBbV9vVOt5irI
GkxzhZpsCUcbF60FjQq382NhyqsmJdClJ8ZhTSRZ7xLVErlRUWSYL9RD1yLRp6v72k2j42YGlWWk
dW7n5dY2jjNn2Slw+py2ROOjcmLD+vpCaz1dilrqWxVQ3iEcDGh7dTkw8kC0qGvlZZ9RwIw28HlB
mEgcZgPfU4i/RB/d0IhGd4yC4iy1+t2Yeo9pNqAtA1K5QoUHuUznbi2q6MW0Mk5hM3XOyLy1L/Vx
a2ZVucsLuY4h1bsB2KC1DdxlwXo4bbKofKxsEJKVgm3R2+SU7BeBQlyTge4ZT0OvLhghOOtBydA3
4RW7MDOtWFul2JEFdMo8Hbx+Gtkbzsl4oLDhL71uHPdB236Lsf6sg6LR91qhzzw1OObx4GfbIMum
m6lP+W76UVkbBAksFIr7hU/kzsJouh0ZMnTfhY2gyCDGJHH2njOdKCGaZltwvvFAHJP94eKTv7IV
yzydak56QQu2n/r/WLTBdaYxeIgJF1pjLwoXbaBUy0hvXswStUMKBmUz2AywRoEcAcvLsBBJcGxC
5m3epLpxHnabophOEAaeYppyETcdO0bkKz0qVTRyHLdDqzo4RvRik7SQ1B4NCcT0C5OQSxxnBg4V
e1wxNKbtPJXMl9T+VrTxUx4rx6QKr8DK5UtCBU24Z8h6K1m8Juiu/FSV60aXqAZDya/EdO32ifpQ
kH2FEDk8eA44ZlzgnduXMJlzLz7JbFSI0RD5t2WQYHTyHkwOUwuNR5dorTdc6g+Gjg46aA7F+zSk
SV88Q3NWpDrFZDElt20O/jEPmXVoinIxqYXqKkl4JpAkYIyKTxLkFEvJnmooHQuYEK+DXWNK9U5t
b0w3ajjukcs5bhkrC2g+d0jZD0Omka0wpimOLADLXrUva3FiJOk3pbDf+oHjo0kHhaS4rVdHrwz/
1nWbN5uaFKq64L/2uXIL0piIupM04qzSWkDx4yenjZ4DAsiKDrVKVFk7OAPzXWP7y9qs9lMN95UM
LMz9nNQjWj/DxP0coqdea5p81VWMPYxBr8LI539mAe9SDLRVIhZSzenH8NhtqNweqcB24QAmhkqH
mZW5n4w8XbZFeG6W9sJz+juh88uLIUfhAjuPrtVGT5sX6eN+szykdgDqVfT/cxEjdDY8J/M3QAsR
kdj6gcnSTdXj1ChqNQQRVh6L0DmFFsMU1SwvWwUNoRUZgqlgusGszLl0xkGKPiVRtbAX6Cz8NYQF
ej8TAz6yPa7SruSt2RnCUerOhZ2EKEj0uXqodpYe7PsxeguEEa793j4fRbTJp03tYFO0N9WYuWI4
tZX4Okg6Rr6SPEDG4Jso6rAmQnOFPPOs2/3a7P1n2wQ+rEE5Uzw14Msqn3DPzSFVPXFKhdpVJzw+
4Ftpq3F+uxWFRaYBKpi6Wtlb3U+2GliHroldz9aLi8ysUjxsWWiSKiANodwFXZ6rS0yLdbVn5ten
9L36zu7Ac3fKeDHy7WSqESqu9Jge+ZPVhyShxfscA+FiiAmM48y5mRyIv1WurBUrQr4bK/06lAjf
07h1vS6/xzg9rTK7Kzn/+4K8p4jsy+yqlyaqVB1jfVTdyRDET0rhpXjQqzHh7AJLPoH4OQ4z3zqY
SddBCPOauqtexjEcbKOHiK3QGGE7gaETq2xsNVsa39/83VGbtw6yUSc4LSshFwm47aGxDh34bQcM
96zrWmSAuYUzurUjTyEUUd3kxTN7CzAPYN4xUO96pns3rfo6zbzvaSZ/j529lV17JMgFXtEcTslR
YkFd07uml32r+nSrzyRxmBbTugQuLkvSI+OOYB+o48DW+y3r7qkDkNyC1rxEYFlv244neqaW1+/8
8plkXoM0r2a2OUiNTTHTzh0RP8YlWOLgPC7QWxnjoh/QhlWY3Ry7OygIb2hRNuepEX0DS8LIRJBc
A2c999WD4YzrBP661M5NWnUkarnVzGbvgLSTSLhrgLY3VnMD5poxITh3cqEwB1wxFV1S9x5GoO9h
AXtopsDr4OCnmQsfAYjnBd4E89HeohZcBTNFnlXhUc5c+XQCJ52Dmh9m5nz9Tp9Pp7O+g0dfAqYv
OpW5ZXzR99lTPJPru7rhTnAeEpD2IZTrdGbc//dA/12vw/n27w/0m+Q1y34xYuGHfpznNfGHbSBm
/E4Tez+Z/3me1/7Aeif5E8GMxgzm44iFghZh8I8Zy19aHaYvuq1BJuNvTBgZ2v6b8zyuva8jFnh5
zGr4nbYt5fzrPo1/CXOztKG1nXMtrcBTGGIqUDvOUnFdyQJtZQSEhT3Ss6wuUEsiLE9njfmE2NyM
nNMqc2K2i/g5ptE4Uix0WuOvRynpLBU6DGhk9RO2OL1ctZ1zwTH1bY4bWyLtZjvUNgq0Cb8OOatg
poFCYUOjGAplq4TJs1GBP7Gi/NSP+ot4BliYTeVy3ttaqkZkAP4mHdYFEBRyHKFfoEk6aFRAoYYK
E+464Hh13I4C2WOmiOcoBfqDJXlX2dZ9AV1jqvoX1sMzhP6JMXNczAcHF3kzQzlo+r9Wow2SN2Kr
RsTJagjCY6I5iiQAenQntiWUj27GffQz+CPWlQpnBDAQVbd5tyhS3Tqf7ugYnBHjTDDtDBKpZqSI
hkEskAB79NZfVzN2RFS+tYogkeCBOmFG1bmlBFICbe0hhVqCuJSqPz8nTA99UuoZ63RGnIB02vUz
9MQJIWgI1BWu2ssOJAlwlGKWaXL2TZewrJBPjBepEe9qUqUWyLG/jWlnL9QZt0IwLMMVFAm6Pz5h
FcEQLsRboyl7AasFkeJpNMNbvBnj0r0DXWa0Sz5DXsYZ9zLAfZngv6RK1t/zfZ40xuOUkpcX1iB5
E7gh0R6b91U/g2RAl0e1iwihDE7BTbZsY2Hs+wti9vKADJsmdsrD4BvWLqltyYrfBZvQtpGk4EJx
zjTU63srzokIYe3b8bkU6koCGd7AY3SuPBAqzjIZxcAIJKcd0BEssKF9LxMMdYO/EWMeMLfLKu3U
SpL2zs5News4Qb3/73L4vhzqv5UvXj1l/2tdPWUvYf3yizbn/MN/LovaHzMUETqjQYT2bI76q82p
Izm3SLRgUTI/T55xNNO8QvL310/9aHNaf5gkNOPBQg0Iyxtgyb8wJ/+0KHJ5CeGEP/il8xj706Jo
JDR6I6+azqfmrrS9RYvj/8M+8Qv14vwb/ppsMxXmt4JZmKmQuMRUOb+CD26uqfCYE+IXAe4GJEQl
2xXPpPGt67a/v87nd/LzdeYJ+4fr5Iooygph17lRdCwzZNB9+/0FtM8z+p+vMGtBPlzBF+SstRhQ
kL6RQipvLOctR5ntKBSFhItq6rLuHop224bHBr+zCF8jSJX+UcsvwGL4fbFoyhOTmTFYK7DDF210
1aeBOzjpP3wUYt7KfveZ03X/+Er1EJ5kX82fhb7yaCSUxV3LADAX8rwnKsEDwxCObxb9pZJ/5Kjw
XYvyt0znd+3P1xfA2d+gfY9kHiHS5xeQ2b5oOtUaz5lVh2Ip2HhOY2i5zXIsCMaYRaOwJ2FX7isU
SkbbX4qE43pP9NiyUyFVVnMbDXOySgaBr+57p2mrTZLea6m+Z0JF0aopkbgZYI9s9NiJOO3ZzYLI
31VlEszW4gPvyNFtRrR04KKmcywFqxSfYF4qDFUJQh2cY6odYb+tvRbcBJSW+rr27TOkj2xeHAUg
1Wkcfkl4XloTbUEOKLFxnRdl6ZrQ6aaSxiGnjpa8EEslI7XYjuV9HZHVomCL7rMT0ciLKDqLhnTT
oU24SY2EUgHVXI5vTJqujIxFNGPwjNCXrgxL21VtKHR5nDw0CiqhdKoWjuHhOfT/Ey72t9+Q/llY
9c4V+vjgyy+PSx867FJDPZ2rG33r7abT5k7fkMxxXi/EabMtl5wDXWc5rvXlvtoz5nWHB2UXr5uN
ujHRWEXfc1L/9gXND8/XO+bjMvGFMizZpPDGc8vm8Q4cYUZLr16U61L9h+VovvV/d50vCx6zCSST
AddRAI9cD99Kf4n3G+uc6f3DQyA+f8Tf14uPD8EX1bbD66p0J9TOA30ZHUmJgfRSEeVQr/AI+uf0
7X6/QP1qBcTuBOTTdvDNOl++0tRMB6IMde2cAoyOwzPEnd9f4FcL4McLfPnsOP6Tce5rUBQ6tzVi
DLDLeoj/4V3800W+rLLO4JgTkZPaudOdTCXKoGsMJb9/H7/akj6+jy/L48heXVWpoZ1rPNsDFijV
vHSig4Ng6f1C/9PT378N/50v9H9nru98s//9aRFjMiTKb83PB8b55/6sjPQ/5gHv7Bw3Z2qL9qEy
krjNDWEw+sTIB5v2zwMjDo4ZyIYRXUfairWU++eHuQOSmyo0Sdn0Y2z8Lyqjz/chQjxbe3+OBBhu
wHBf1cJNC03Qyo3+2Kp7H0/eeJnXmw8fyvH7qvPR2PHdIfJpNUJ3yGCKTEJDM1HSfln1BLKLKIrr
4qj3bInwR4wa5XSga5l+DFToWLPOf4gvpjw07QO5VtY9BygtvrBVY1wGajpoGLYKHsN8VwZEYnvJ
ytTD1RQK5iWTvhzH5OgZipvkym6sHTCJ+VWjIiIfA7GaSutyCOstHGnMbOmwBp4hXEOWe6KzzxU7
fk7G+EkBZNoWxQ6g4z3bOd3OMCBrr17ZWkIiSg17fqjeqtYi4jzs3YQD3SYsCbdX0HAviFzflh0t
uNaKbsBtlXq95O3d+6a6I+ocl50o9uWQvSa1E6BTkmjW0levADVnpwX4OHUAv1pXa1zRp15j9a6d
zVqVXuPsaqnPQ53tdamkzP6y6074QDm0m2rg8KOFzV2cjjW4+v6lNuV+lFW2LqPiLAuG3nVKS8d+
6BlLL6+uqhCkqSUBrPmjfpb6qCibWr9IepzhU9feK5GOjY4MeNobYE+15g1uFMOpUMsXVpnjAJIn
Vl9JBDpESSVxGW1Nla2d0YpP/k6brcJCQ/DU2TEj7ulOkD+n83Uu8la5NHo2o1SDapM6pK3a8QOB
WGR29cXOwet5SJpeLFHo7WH/QMkTpVwI2z/1mxc9ytcOZs4w7bWlHEoa2El2501Agr3SZh7nE3Zk
t5XbdNZmsoyXIkSX1Y/EQ1nyxa4pP+0ofIMtwghEEjdYNs418ss3GfZLtQxfw5IZqqijbaBBmBNY
MXM/PXZa/SyiSF1Wkqk5lp9dEsYMTLtmHdqzdlNHyS/rpl9JgtaWRtYe0RzddH4LUTVpMFsH1Tza
v/KHpnRzIs6WmYeyTAK+7GgQTPPh1bGjKw0bOGotOsZOdxerNDTD0XyLIufREPGcHov3QB9iYl+9
ID7LSCFc+lFYLFlXbvyxvMqkUQCa08/9xLLcIA96blaCCcmjQoxaEvvb83lY1vQQmx4+FNobXZS9
SljO665Sb2I/oY1LIO2gzIx3v2G8p7w1iv0AkBe5URwsLV0g2hjewScWrApt1ehjvCveHQy9rEpv
W/BpOFihymvD7yciy2LucieJb2KSFXbGNERHU++vy1LjiF68pmhvw7hIyHQuvommZGrPDA/1FsPG
uIc0UYXRnZQNNFSP2EjzNnNWw2YMyIJMc9r5inJZtZEzN2KSEuBPCrahI0xasQjOqihLlnViGBSw
4Eb1AneIfiahZNCqUmhT1UtSuNQ5uvhQ59Z9YBuvoTqUC5a1EtGAWKdJAdB6PKHb96SQidU3IbnQ
7YPfSqiwk35ZZWIFRvIyF/quF8olbFrXVPxbLTYfattA+KKeOL1/xFJwHNPgbKqb9cT8H5raN3rZ
CS37yI3rJl6BXF3G8CmtugJExxC0KrqDNUftlZCZdJS3iEigYDlMMSJbYZStnI9NdZuGTrzytPq1
hpGnlcOdUr8aLXdiZ1prXcJ6XnpwBpDCej09vqgdwV+p3WjdWn43bMqy0paRT6i1YRdNcYh1/T7N
JYHJE6C5LvOx7UasW4RRygJaEbDvTTPm1dJOaFvZenobl/UaIOZ93ye35Bw8oLHVL9TWmI5seOW6
SsqnUhO7oNK/DZ59Xk6Q8iBlzbRfFNqMRF3QUvZSiZJwnRLWdC1Tezzz0+Aq9P1nxBjKside9aSi
j04vrsG4kjGGl03wkGl8i31wHYZ55Dq6sm+7+h7k1sQUVk/X3mxGKnh9UITZe5ZOzBrQKonp1m1B
iFZjK9cErTHMHp1+5VcA+njK6zvPqVuARFa65Wm23TJpXGlyiO9E028Y3JFeluYjqCc1oBkGCsVv
EDQwoTS2PY7vLa2+Ixbsy1oGc+9+E3Vz/07xoEMisZlMcU0n8r4Sw5VvVOYOo+B97vRknvuTd/j9
tvvTUUNT8WeB4jNpBVuG+kXYZSZtgQWzbI+5DXRJnEf2tcmrNmimRv9kYPlcRVCmaDTCCZgS+FTJ
tbHmmv1Dz6Cu86HR+ro/2h5YpNtyXAfK7e/fzj9dYv7vHy4B6SZJ+jbpjwUPJphSghQfZXH1f3AR
hz48scrUWO+9kQ8XqQMc81HW90e9ui7z00EBnrj7/SV+/lr4qD5c4svpomHA7Qs59EdpX6Xlekrh
7/TnmfUUjf9wpZ/OgPOX8uFK8yv58GYSQHKpSWz7sRynhchQ8mj7NmWutOpS8GXTP5xofjpucDlC
qglbAVEIPOnLcaPxo2GqGtHTIL4XDapd89oPTsb0/v3z+58+bPy/Fp4zO/U+3Eg/hefs0uK1Cp+S
X5w1+LkfZw3BgWJ2/SEBfx9A8Rz+GE4Jky4snVkWgzm0+4ORXOeAohMkTvHPD36OwND+MOlv0Txl
sPXdmf4vzhqIVz+1JaCNEOMEeATllUYzGEP751vSCkhAHZRyPBt0BJBrEcPoOiss7Nhv6jRlBqUW
QF52dx2x2rTNTUByGeVyxApmyvjS0xgh2yjMt5XoLBB2pvbiw1FY5o73hPf7Kvbi9DjG+H/LydTW
uiFIB5VqfZab5ltQ2Oy4KUgLkZGegDIIflEdVqCGelqdqTBOJ8a4xOQlDeU+EqpxOZgISqPIrw4F
nWp2E+cUWV98gmo7c+uiH9e4zeeWZ4yDBV/1Ehs3QkVEtQfZjXv4b6d23ngnaUg2aKw4DJyZvdnU
1ib5DzCv14NjIbxq2IZLajzySS0SdQd2xNJusflK5SFh9S7MIdtbQXstzECl2EE+gEyhgHg3Kocq
Ml/6jI2+zC2xAerxNkXRI1oEHAOyE2RAegClChmNN0hwPDRzwZkPP2rXBtFr40/aA2Uv8kRofOvO
TErXqhOsDgxXIDQ5mXOCdUKszF5V9rIY1FMjzJpNiMV74VeteVpZ1oWd+NEVJ6FdH4zXSgHvNpeZ
3Kh2fmGZaKmwpUOEUukHAo7Nd1OMLESqPSO8MVZORdDijBmrwHjoCgLfPVWPTxpvFM2GbIaRMnmq
6HiSzYX0iNiQ8GwU1OwLxReQ/rDSqL2ztB0F6pLt0PqEfaMYu6IZtWtFa5NwR7rHtK+6zDkPsViU
i3yy0WvA9tW9cwfpBtKJ2HnrhBOfaqhYhZ9OV/BVyEL+7+r1fZD029XrMuxe0Zl+e/15+dK/LF+s
EJqcbwRqlg+rF+Mgy9RsqgsuhwD+z06JLgHbY0yl/DAd1jGDOufHDImFDeA90nuTEO13Y+O/WL3e
G4t/dTHmxYu11bRpOZomZC7zSxcj0GaYUatrZ1VeloV1qgCsmQ9wLC8pYHQ4o0xIND2Gk+cJcqt6
3FtiHIVF+mponNuJmpy3c2O+TwdlZxiZftaCW3V7rc5OUs9Jr7BH9eftIItTWhT5SwMidq+lfXzF
Sa06geXsZMtmsF49LZTbXMKvE1FlIMRldP0YMKRwSMNFRlUxhJFOsok10btTkhnPXWeKN0UPJyA+
Jp1gh/EzVhE6FxSRyGdMznZapC0MNUoJprfiY5q23rUWOcT44JIKrtQIzlG9SSxRTrupCPDxV+h3
EXyBzfA59MtW7QDPd2w9nKHJe8nHJ7pC3UVVwSkAa15p0vUmTp8H0yyiVWqEZXSjRFgQEfTHloXM
CigPLjl9TBdGN5aPMSv0TnaUSBOmd9dialcV495uCmKTMgOZdFc5xkmHrvLJi0JTIyUIvxXjRoJG
lLKDvjSGma6Tc1ZHuzEwLTjvk7ycRI1iXOsMmDlW9NJA+dwXJrDaMyOC+muXdthdTpGNn7MyELUt
A27M/ix1kjFTvnfH/lvPzI3Ov++d7rLxFxPl+Wf+rGWMP0xJy5T5jf3FOCMIpmAd0IDc/CeY6wcU
Ryfuz4ToSfoCnGwHBcxfq8GMu6YD+Z8AjH8ttPk89wC7A+5an18DJGyWHf1Lea0HCTHMndUc0tgM
1nmeEJeep3SXLkatm9Aqhk7A7b6SQacGeLC6uF8ZotEEnixtzEA+j6GenHCvleM5XlhiMBd22xsV
btDBLEmCMZJAh0xJv4e9UiYh2D7FizrNVTwnzx6nymzl0Wpbp8pci/wboO2G0dfDUihlVD/xuFTT
hNfOs2o0jEPVOUy98CNsorpwzgDmEhk+VPBw+17elDm0TBtDW9nmxIHJOKLZWPbdCdEA4xq3S3aw
kri9hJTYP6uZYRRYjgP/uZPVsE4Ivz6FMpXT3Mq9Q6QYcv2/2Tuv7bqRM0q/yrwAvJDD5QA4OTCJ
pKgbLFIikXOsevr5oLZstdxur57r9oVD0yQPyYOqP+z9beynCa4MDX6BOxviTnN0MibGer7kFTRo
Dbdd2OHsqGc8Oyg29e6VeJo+KAYEnUGCLPiQWNnwSZ9bBKBJZX11ZeHtpqSYmQmC9MEpuCsUk+Rn
qYLAX60vxaguJsJs5DPWMOCnsFVx7XBmb3MgRluz0dAh9j2WZAay0FblxA4wUvHDaQ0MH89L9C/G
ijVOpMwqYspG/S1nanQa2z4+CLQunw2rN0JaR+TZDaMM6ZbjzQiWmV9pdWg9W3vQ+lQtiJwG+AHV
24P6XCdXseKiY2GlV2vFSHvkQW0y6blX2TI7KNuKGYWApJqg2vmK7rM4Y1Hsn0Z46tvey8hmV1L9
QsJzgRcl6XPcGhGD1pWfzYhQgdFt9bdGajQhUsz6hJp7OvXguhFFS5guirttLbF8zGZS7N2mjI9L
nZq8tsxRLmlkq0CWelhFtcAaMgwUda1wq10TYxcx8X77i9XR00ndi45Fp9hPDDqf8b7rZ11xmxte
frRVckg8fa2jGu869UbIBC4NBM5DnCIErnFUM4BrxH2yot+nfm43Ih2XTTzJaNtj0I//rrV+Q0Vo
VB7//WQ9vXd/IGFcP+dfJyvFlGbD8bCRxWhrruG/ukRd/QekLwjIeAttw3Y4j39YEjk+PZc1kQYc
edXx/FRnmd+DBFC/AOb6Xmn9Fa2Os9ZRP9dZ1FcuCBkEkTZ0F0qEX5pErYlVLZHD1enJXsnxc+Mg
T/QidFrT2zmT+9pH8bxt1xA6GMeZqRzL3h2xwDipnr2kOlaZmySqx/aAZq0pGXxms7ppFGt0yG7p
uvm2mptrY+TpJ7TtWHQhdjuYhGVPG5NkX4zC4hCvwMY2asR5HTOhg/tarUe8bkoi3b6/W1uLfLyD
GSkldnHtOwC8THBik6+DFxmZvDHafdpv9WpJtWNZEr3zEEvaHfZGUcYAHcYTsTIxCkcqKDTSgx0S
7JPtlFy0m7mNtN2U29pmXlq5U3O7ewJ6OGr7nCx0uTH6UcRkunpy2RQjQn366EhBf2c2Cr6iRtqX
UfRJHTZ6bT+ktt2t2UfUXTYS0Z3WJPnwkBsFUASQ0sUNtVei71qH/y1iclnkbHrQNjGMZx1R27Vz
wERoqJu/26Hf2iGqgf/+iK66umP92o7pHzypayHx40nlcWQiw9xmbX0YzfChH/McdMiWa/N04BJ2
TIqRfz+pOI55EQiQwSNBefbosH50RJRHrvbPL/a9w/oLDRH25V+fVNR5cAFt1sjGipD59Ul12cwu
puhuhEJ/0fj6qKFnqmBqHOwxqW6Ii7nQTCRX2+p21ELWXStgTshYvTci8z7vxvdapRtfluSQTdMJ
mx9AmPGc63qgTPJYVBpgWC2U+orYNkGdNsYZRhtLkbG80kZuo9g59wkZvEK5s7Pk0RHVs7Xgo4ra
d9d0kb66PkX7IR/rMFEUsjgT3ABu8kQ0CXl36h0JWdcRW8PkqVfiAoBV2cvZduXO6rRgTuNHi0Un
9FPiv7r5Dd7sJfKQB3XGF9wju2kYjlVkY5NiRmK21yhJrl69bD1pBjGrpVFn81u3l27Rnx3T2iea
dvWE8BUyozItuyLng9qBWwmuYKJOLwh/b5NkvICgCwC9cvWOG6Owr50Ot8v76DtP35TZTHkEr4zq
4TVicJXa5jPmmIPSe+Fk9fdJLHdKRkZaQ6nQdA+iB94RLekNMtx9zmpZy+xHC56sFP196Q5vlQ6Y
0K2u9HTnyWb1sTIXO7Gn6CEkpfnAtHJF/baRkXcwYvPeSXDIuUqzH5yq8s2Cim50FF8T7Qmh3atR
m/dew7iZ5GYqMudmVIZzrJehjKdDBxmvd5T7zFsOmho9maV4ZCLGqUSSJ25b1gcsx5NIbQOnbC+p
W6xGn3a5K8QYhegDXp3J63ZNu+xcwFxBvDTPut4kPrboNyyQ0Ea6LlbbTc9ih4yG3u2yPX1zchjq
roNqKOWCGet7jhHZVenW07DsTEt/wPlJ9Eg7Fj4VzX1ODOkRP9AU9G2OlZ3D77JYEncldiW/WIj3
wkSlhzSN2b2u6fTaCBss4rQyKJGUoB7BSin8H9x/MoCrTZZEQzbZ4KoZIoHZ3OOWscLeFg+pKdpw
WGU5kUHolxyHJkB/B1A27h9dBqKb3EbplxX6XeqKJpTZxwyRnESbdboVfa1dAyu5eSPhvJhdfm37
fA7zmdV0Eb2n0ry42fCsMAjILt1I6Av/3zFoG3DEhk04aFnf6XX5NI8D5p4Ja0nEJR/IxMxxmppv
MThHX+3gyzd9C4XI9K5ph2HFWbJvnjIS02niKJ2mpA1z3X2PG4iLQn+kUnjn9ZMnVas9+gyjCI0G
uGJSUqJaFS66JkejOeGWaYouxOp2MyXl0S3nJ3MRH6OjHjPPPeI7SLF8jps0Tp5SCB94BNuriOZ2
i9sZ6eKo2Je6iB7AEeC/8vIV17IK5U3WbTOI45n5AugkrH41cCJ15SA7KxE5A40cKcUuW1nJnpxe
WMbTP4BRZvL8loBVXpj/+d1KWpaOjV8J9rJD8RyvNGa91bduQzxva+i7CGDzsJKbOaYATZHuiQAA
9WX6WcQGX1wxv6Yr99nmQvXG4U1BqNCvZOglUsMWVDSdyxQImjOpj2pgrjjplSttDh2BYl3zCdoS
zGlyDzfLyqFeouizsZKpoyZyeH8ZW8yOWJ+8mUd0JVnXNY9lR1vFy8O7rerLblrJ1yNoKMAgKCNW
KHYqbV7bdGygMi0lYTVCjohRWGYn6jUZpqdKVY/DStouFPhcqSLYe4PhzhP1YQbLbVXJJ004KlIC
O6w6CJmuiR/bBuaN71xjupQTImcS/VDiny6+B9YnCdzUbl5j7JUakMkEJ4f1Lyn35sBAfs29r1RX
2alSALusmhT/WVlvl1EnuU/cEVRBDpu2FHdpjdD371rkey2iUd//91rklFZx/59j2fWTflQhUOVQ
m1n0BZQO/9EvGBqzENa+aOvXfemPdsGm0uBfDjMXypSf6cTGOoihg3B0tlSrWeAvOZ4cCp1f2gWW
V8x4PWbGNsr7tUj5ac2pRQbRWo1jXROpGN0jIA8CQYJKlFqYkLoBOw6jTkrSb24APP+e8kPej6oY
hFGtCUDd9zSg4XsykHBtUoLKuiP5ypkMsoOsnuK+76MjKdtYZOuilvldDaqkAVkCw+nLMusD6hjj
KuyqDc2VbyIdrpi4Td5qBw+MvlJQuA8SX5BQtABIQQ+WB6WeM/oFnpJo0WdmB+BUSNnEKV58x6zk
RQ1xZWWvTFYHeSFM+Kp2UI9iqC6mIogBhhSWmmkEYquYN+oAuziqpuZNz+SXmGcSlnoZBVpTbfsF
mVNdZvs2U/YpIS3+0lVvqtFlzE8AouPrfUxj5at+aSpxqTn4F2pBNFaEj0VF9Elr3buyVjeemHaZ
vNMG+3Ge+mfbjTcmnn7vN4303xNRjcfjvz+I59f8/Q+eQz7nx3NIqoOBuJKZmYvJT103J//qBox/
0MfzQIHOXkGNfOjHg0g0IPpR1dEdPqh+f0Z/dAPuP2wGojTZjsaTw2Ljr/TtxsqJ/P2TuJ4BHv+c
voNdw6+oVPaadIhtZd3kUxGflLhso4dlyat2D4A/382maWDgBu/WIo+CnVUczA7dnTUq1j6PkAqW
QkefMKtsSbOCTNOFjHrfdNaQApzxLmUDYi9uqpxcVcXLyN+VrCGWQt3aJcA7tDhU3u67lU3ofgQY
oigyJYa5JD5VhJRkhJUo31NL1vySgSATfSLRpFizTfo15WTGiV4QeyLRi816fN+ueSjqmoxCwPsU
VISlDJIKvvfeoRIRf+TeyNY9IL95AGyzUwhbUdbUlSqqT20C23vNYyFe6HMxxIFLUEupW49x6i4+
y/GEGavRMC2MX5jWHQy32WRq9AJA43W132Cibkk3GMiEIUGNpBUSFxh5Ey7RYWJ3iJBp1yyZvNMx
GBbXFtM4Lv340hI70xE/M0AFHPhFQ82oA1nPsy+i5liumTVlTUQ9ITYquhBvTbXxZAXiUUe5ioMp
NBxxlETguF1yJ9ZMnGTIDuOaktOueTme4BhcE3SaNUsnI1SHCe1LzrSEOWQdWEYnt7GgNoqb5Gu/
ZvKINZ2n0sQOguaxoNrfkXN7rdYkn3nN9CEI/KmJEnNjdB/jmvpj5+T/sNhlWU4AHzOsD2XNCELC
fNOuqUFyzQ+aCBJy10QhhWghqJd3BWhsb+qITZjqIBtIIbLiKveXNZlIVPLoElXkML0l7xdnAlKx
F5M4I+hOXxZV3rUowlj4vswNwI+OACTo78B15hwaXZ9dS0fscwIvwGOsuUkEKC1rkpKiWeyOm3ib
EbIkEkgJbAq2DvFLghFXDRViZSCmdv9Gg6mfmc+zMSxX6+KATroI59XQyM8P6UisLsfISnE8TnRf
jj+4DsyjktMgJL8b9WMb8cn5+huXuCz9NAL5W1E3eQrYCz/KCdfiGkn2YlJvJA/DnXAzZ5crLgA7
htg+V9XRMDIjAAzhGy2fI9NGucnimKDBRa03Bu82H0+Skfu5JnBiGulyQApq+VZbp0fXXSTzN2ve
AOgY0FbDMFKnaTtD8XDV+AbwCko2XbsYY0ud5nl3mJHjsC+ya2tTy+naM2sO8dBpSv5SaaC79Ra4
ncGWXYu6ZuOSkOF3tpHDQojpK2BuLlVjMKonachFKr8rdSK1nAqAuTaP0xVgEHTxGnisIi65Dq3G
Q8Q6Im/wxwJ1p572b92o7DQYVv5kdIfKHgm9tdyj4hrWUYsLN6ybjKwl1NZfdOaLPgSxeUNKBvGG
60VZJQ4ck7JrtkpTgMAapPq11fTPWVlGW4+wMfIbZ3dXSRjteU4IZF3CEOyVTGV219a+pq9/38gu
fWlGp9ZLdsU8X1OeKNLFR1qc7o4oRgklwtpqcX3ShLFLSzLZag++QSY7Rv6eGyxrx224DAMGCV+H
8T/oNbEtq/IusVITAi5QI0BQJzcesd406i618he2o7tR6R9kPk3wseFoJiDRKy2/9GOHq3ssSXJx
mMw0zd4e+4/YiJLQ4vII2fjywCI+1S/uUn4q+6w4e8l0W/EbRdgBobGsaSZisKusaJ4pfUD/N6cx
ct+XWteQ9JbHIZ8Z7mvLDs/kw9+l+m+lOrqGP6sQ+v79DyaGeGP/VSNQq68RwDYGKZ1HbVXh/atG
IBVk/cc/nLj/nu3jNqGkWDGFKn4U9BU/TQy9fzBitPmKFAq/5Qf/hZEhOINfawQLS5IJm11XTVyy
3i8qQYZda7C0Pd8Ial9nk0xRRlvpQBiJRZqAPolOg8xjYyMYCOZP2qjhu2clkQ6HRqaqv0yEtp5/
G+5kiz5I0MRNVQPXrQzb+rqg5EKI1RAKR7BbxxHHhnO/2FrsfXhqqQ1Mw3psFkPqmFEYCSm9sGjq
2SYURFnH560d6xIGcz7D7JFYSREyjvGibUo97uTGdDSwAyssJhzGXNuNKoE/O+YhpvVYaCCXt2BW
D6wgOHAq2xz2jTKJ/WKIkaGN4S7bOGNbuYnjDFED2Gt1nwCiOiqRW7ylEAuIG0dL7otGTBulYDdL
sCD3c4KgTS0VZPush98mi7mKlCVybFUoCYczcVGWSD7sWSGxpHI/qHRMfyjjcuM0fIzcAYaYE95S
4inmUxLDInLXQzVOS52hBwwBlnq0BI6Tc0oPOVhAFFP4mBWVFggNnSZSde92JnUIcUmvGpGqpOfW
8bHplOLWFIxiSPbymMlV77kjrZ1RGPEGZoG56+sh3aj9GiQfO1ASrbG4zVUsEq0HTa+ZEG207bxx
FXDMsWu8J8BT9vQ8vC2mwoATYAJ7rGMypG3ljaFRvLdlMWK2ZT6adN2HM0cR8BdKJKek8AvnDsBs
MejOrq7LnoxyNQt1JckuvObSj0mkPK7DsXTMoGeR38F+dhZ3nheR4OvV5aZf6dP1XALY6pggz2ME
l0Z2vEzX+FxUuc6xl61TRlMlVgbmWU2WhD800HtGRN47eJftHa4MpG3xDKaRaZkvhdYyUxM4JliQ
Flupesumn2oweWQ8bRbNGcEoQamNlirfa0WHejzK/mmY/rux0v9023J9n16/vf5na7V+1r9aq9VU
hzdPJSsJZdeakv7TsYnCY11vrGQXjsLftVa6zRrFRtK69mOcqD9aK5j6KtB8VqboQ1b73l84NZln
/HpqOiRPwO5nNUp3x6v4/YwjGtMG3nEqbtLq1hAsQ/RIzP4yeI+L1DF2CgLHPL06o5C4Z7zLnqRQ
AkeRUBMTniEBvdB3Bo8hmneDfLsOFsV+41S5FKP3JGX7CNXwY4Re0ir2KlxxXoqmZMbf2zC2Z7aP
enmuwYwGE0Bm6PvGdVbbJKDGMn2igZ7s2JZbo6bM0aI20JlIgJeyPueF8xQL+cbxVgVR7u3xIj3m
6XDbeeY1dVlwqh4q+Jyc6XohWGIaAGehnAEQe9LcjMifatqWS83PDH3exW/ujofRTbbkDUYr3m1b
JcozILSAOBDf0r1r4caEAADhrBw4S1HVY/+biTlJ8Vi7VHvobH0Eat9qL73pc2h3cdqKB4mxLp2g
g2tNH8h2sdFFMLlV2Iz6MTHaG0+xXkqZ62hgI2ezoO84OmAJw3Zm1q+Qr8m5SvLuPIWF6Vmhh2nK
nT1J5To+2AJKo+ysJ3yObR7EaWc+eNwpwzqQranjF7vv5aM2z9C2JxciQGgxFuUuJBAUeJ0A/szt
FBeo5+qVcjAhKbapdXuxU4tlL+cJKn8PdIVCfreo5oSRn7Y4srRH04ESUTrme0OzXKi9509EPBEW
lwCx542TROPjUFVf0uK9i6xjS1yVb5n9gTic09I5GWDxipQaVdkkeYMuySGCQIU9lwvjRJjfszDh
BzXYHktLvLaa1T5C1L2PS/Ne00hybObDyPB5ybJon1qR4StptCfgtg7i1jgJLlCWGI1zEIpAW1K6
T8rUub7dKtvZ02H5TcDlWLS40XyQHk5stW6oy+Mq9CaFhWDb7FLWiz5ScSrTaGuM1naVyXA2j0+y
KJ4LS/+AFlf6UdZ+Rop8rqL8UTjJS1x2t9C2UsZx7j6v5Oe+q0q+fLJHa+4EBTjLahmO5ejwbs7k
Z+gKK8L/dRDpBo/rycvSEIzrC0DagRXQDAlNBSxWdCsguHtMekhrzWj2vLT8lIMHbSTr0cF5aT2a
CjTTF5r4e3YsO7j7z5pQlh25gkE5jl9gUN7rRb11SBAyQOAvDapOQGr6OXOhjLd2BZ1nuupGvM2r
bzmy83ECPtyvzMx0BpIJ+iesLXGb2lboqhBkvZlVz+D0nxG3L0Fk668lcCSMQPkQqFBONdKE/WkS
n2xJ77LUBNManfOpquKT26ov0k0uRJffGTiuNMjAvtd636Aq70uPxAXbaQ8gRXkDRp+KDC0CygYG
MKRUp5P2ibfxZ2fgaiZ8gtwz+673jG+eFGiflPm2jsD5lr2GizPW8S1GleUXduL57tBp+MOWAim/
d5/nnCvoOttDNCXqhkZ53la297ZEw2tetLeRRgZc5FhRCCQ0CkrRepsus04sNsxbabg7EHhJdRdN
bfbQVBrgVYM7PAf8WddnQ8ZvWqUdx2IUe0S4ymbIddYfceb3DXhiUbjV1suHd3i7cjM6Cera1bRI
rJmH7dXjN+A5uPYsPJmR2Z2lRlqCroHexfeWDPcdYW6EvRkHW5pXgqlOdclPmeZtCLoaDr1UzFDE
cZglJYH2jvm3BuqfGqg/vfLPdf9//m8Vvxfvf7Ta+One15BCMUvlatcZaas/09kRmZLM7lqm870g
WC/3HyNV8x+45lcpOBsC5g4/S8717yopOiluG4fYnL+ELWLW+7uBKrAkqggqizXKEbTz+vGfVhuZ
6zBhqGA28IBJyyGaZGe2zz+1kLe/6ap+dufj+fuD74IhBzQB0nvmHr8UF23EJNaSVnYd6iwtwtpV
YcJ40NKCyNDzTWb0BLwzziL3kWt8JKEkKGR0mpg43qtNclekRGZYSXqeVZVxqaZY5HKwRi+0VA3U
ODnMenkYp+SSTt6+GbWzKue7XuiXVtbcMsYNAq+jmuVYTKf1FlNbb+usHQVRYsJPde8bmXgzLuSS
Dw7ELAJR+UgRX8FOt2G7ETnGfjLi8xeHrAkB4N0+zoosd9G8OOGg9CzPPZ3F6ShpFPOhwmakm08R
wpqdU1jGF72EL69QGO1SNU/sTTK2TbGpRZs/1wQdQkkFhL6PPXjGB80AUskwyb3aCCuYboBk5gon
29YfjMZwn6Te2uAB9GLXKUhedlo9Y6gln4g+uw1GqxxExCLaUm7cVlcufP0mXG+5fHUZ10q1cxmw
hPbIGBI5Kvxux033RmHmxxG1p3vL9+uNL5aInf6ki3qq6ZyN+9rprOU20YDotbHwTl5nO0ec6PEL
5gjzeWLpDYZV4GoZqtE8uGh8SbnTrVnuXZpwO1Dn3qMMo8iykZBt4Lmbod4sFHkjoPc2jsVh0q3p
6o2jsxn4nXOZyv61Z7a+CPQAYnF1rob0oGAJ36BpYgVGBNA9WIFjpopi49Wad48Clqi8jALNFR6q
6YZg2yU3STXWkPelz25pTWf+dFNot6ncdAO7M3bl9P1ILo42yUAbhynhbhgKLai8yLz2yaSzK277
nW1M+9msuEgWvb+LmevRVJYXIsov8JKrbdmld2ZtkYg8ZmFkF/s6JVInNtTb3psfBoqbR2zR7gcs
BtYBeWjPi/1Rp2NolbCJolb7pCrjNrYHMnnqnJqw3OYuQ7qFYWVvN9/6fniv0u5dZOKJTVvYGdPR
W8otBwgeNLkzF4KK3Sk0vGGPivIssUnE3fSmWiNTe2VbzBotJ7aKUXyFpEer+jVSRy2c7cKgwCQ5
JLemF8tO3wppmxu7z/sjA1ucDrM86yUxjrF+sZsx5L5/afjz9QOqi8p1NtFkb0mE2Y+qfFmifhOX
RDa1ausboNoJZ6nUQ2bB/9MEtafj3PIz3lvkqoRLKmPG8xHI5UlNL4lpA5mN9LuhIL95bodTrC+8
meGnF+2i+nlEO+yW4uTxEKk1AfdeR5qwe3bRbZlL/azIIcgt52HU47uqbc5I1INJ987lON0lHssB
dE46Tg4GJAtxltSHGZnLwdjVlIydes2V/Euda1+avDymfX6qC/eYjdqdnLWwgE9dF8XFMrOgLVpx
ko7D+IXiw4W23ubOflxL845BdLKQvSLno1tLcWhlVR3JC/hWioj07aQquJCJ0LEWI9+1XrOLetz9
Uijt9s9P3j+wQ2ouOtvvmBfMg/zn78/3RGgEQdkF8NmW3mIqPIHvXuQhEazFeSiNOXQm4Ol1UjIo
ke9a0/Z3bZurn1zp0mEty/3YZWd1icLcc57VZdi1if1R5VkcNg2QCdKqCBdb86Al7+kigo0WWX0w
M4PyzRYjgeMOewjHb6Q+jEGa9U86Fs0NZndaIRXyRFEFcxv0SLWanIVEVO0wHO10cyKZs971pfNN
FOUDzJPjCP1b9sWxHUExNvXZ7XVvN8wCoK1I9/qSWGDj0sCOIOMmZraLWUuGvdrfm2LUAlLdj2ri
8Vwjh4V/olFRdctjliII8Ww2PrrQb8wU7Vhrr8KZNL9MjbwmuHry2dpZwBnCtKBArHK6KhfKekkj
iOJ8Y8XNuYgBrTuVfpMW86kYyz33GhiUhuCCWvTElXc3eVbc4z1j61BNRWhXSkqkO/OdrrtNDThQ
JVH2tBXZoylMPJFL+uqRppBOvJkW3qAuO688b1fQ/E5rSuwT2ktWirA0yGbyzP3MOWT0NW2nc1Zb
dUKppHyLNFv6DZ07s/eFQO+SQNVmPcuGc+rYn3W12KoqOhhQ2C9EimtB1oscO0l8Y0icS8Bc1xyR
zN3Dqh+farJwTyz3u0vB8Orw529VxB+/FiI2nAqyaogucM1Vh/q7QkR2M/aREub7mIZGduz00f/z
7/B7FQdf0nCYDLP2hK2LbGSVq//8HQwb96/rxfG1sDOye2/SMd2nzX03Z7wTiiC1262Xbf78ezLe
+d3P9Z/fdf25fyqwxiYfGtNQlIsqqgeMy4xK+C/cip8Z6Ao/QakRDK71jDeMLod8m2mBmlpU8wrM
T+ug6uTnWnHO6WCCRSyTbeHN2pubmE5YqtmjjZwtjHNxcgrzxUbZSK9l2CPvpqrejNKpNm6jYGVr
gGA4lRCHcXGMt7oiW5a9tbFJ0/QrpDPigVU7CTmBRTi4thowRX8YzUKy28sfWVbphzKGpCSGb+yB
9lxKn/qu29r93Pu6le0NNVHYLVOhFHNV7dB5qUFL8AA+wdU8mC73elJhJ07JSTRihh8e2JN++mj7
WacLSg+dSXrubH5aZPZsqvnRQkvJiJxiLY0MrC4D4dn2aB1ymZ1YBoeViPQQiRp8lSjnlFWfJxXt
X5qVFzdZdlU3b6ZI8g5G2jjEJaaXJqyz0vUbTHdhV0SXhjyQVa6q1bYM3Hh5QFhPAdcon8aB2BvD
QDcmnWGnNCkzp7F+tWNUtmp516L3x6ky+L12xK6pMDE39g77xLDRtMdKJPslIrFi6sZrw/QKiaN1
YJT7TqdLE0ncYWuZu7gxzw5N/f94u/2v9/haiP/0bptReE86yOFLdq5u46uyRS/7RID1gdjus8vV
E3xlJsNe8lJ9mU9//s3XCeZPj/CPtzpCJDRcOu6N9cX99M0R/LtVDoL3gvzSr8560GwRb2on5dnZ
kuf6eKME5+dpA1NveuXfiqs4q/4x3UZXA0bj/3g1v29sfnsxBkHFFiyC1VH7i3BcqDNrbS1Lrol6
C1baT9Xn7i+SUr+fKD9/D3ZaP//AsitHJUmKhMv1Pe6IAL/789/oH/4MDjIXoLcG7JNf/prlYkv2
7i2Xt3LbejwPFjXnbyfU3xN7nZP2vy86L/Ufpaqtn/NjXk/f7uJwgFyomwgnVtT6j3k9G1Abpt4K
ZGVt+X0D+aNvxzbK3wkp1L8tpT/m9atvlLcjYWj/H7hhRFe/e9rgjgLNwMKugemzHdQZv1xnveSs
Hq3RvsZGJc/YAtWGxbmbtCbjYhxv0pfRyF2vYLspQpf8tfoi1LIfNyPocz8ZLLW4uGOqlsRbxXwP
IkXY9ZmbSIE/5W0QZZNpYsjZKhZ/HrIxfiYjSkEcrsZg4vycTrg59GbH2NGbiJAHw+tAmEqUOt46
FmClcamedXWkziELaKgcRq099od2ojrpUrQCY6z0QGPVT1mF5b2yaYhL+iah3lcCDZamodOvo+bU
1OWpaqOzNi9PgtuCLhwscNOQFdIcijKOiJpiG5raWUo2BcbNYnFmP3WZfJN7RcW1AFV3vFuCZEaC
RBkSjz3YMpQfGLlhYZDOc0R+/k1fhiVMx+nzsFgGgakFTA3VCsEx3fZ1JbazPVFsjR7HOLLiwHDk
EuaDXSBzqrBAWvhqXVXf0G2JkJ6hDWZ3+qaYCwHzaUyLQV5wGWnflgVyGLLPLXMIhtbQw6BaMHuF
z77qlBhJYChr53M/5iNZoxOa69p4wEqybZ1RJw+ICSSUdkrHqDmYSU4mkllfM72+Z8vJmLI5pVxp
CZghf3KhjOAJEGPxZgoys7pkCgcDRXWRIwMFlw4M42hG5aZrXNun30YxMyyZ3xV1vnWFQ6CIAauN
Pc+W7FI6ATpjLY6fx4q6JWfHsSNxNQ0VO75dHIpi0xsCrR2O0zhl9H/dc1yjPZG5dQJT8DDEywbj
KbFfCyazKruPq+mcWiQOOSkJObbEnGHhvWlMJdp3eZQEKnRh1aqdjdsa73Wh9XutQbZqVTV+ERAh
CSSuysgfHct+KrPWx9VwoyRNEzgea1Sz8DJYYtk2K7AfOG64znxG1XhRG9w6JM7sprl4WHLrUMUt
8ctRwhjYpZEQfTbxRteTE10OejVPskaf5+fK0Y0w04fnJZqfNLP/ZPaMx1nb76rEu8l6C6k5gafW
8LaQisP0aJ6xYuTgVnJG5i5xOMYwPpBZlft1ppGdKeJD3JsxyQDtPTTll9yNv+CzZW2QIkxkCdCi
JTO1wFTHxylV4d3njG5qOzmSFXwEW/FaSbfz1bjVA73WHih+t6x/PjW9ulOM+nZWEeMvqfHA8o+0
d0CXvgFzKk7MS+o0SoBDcbukxTPav2qHgO61jOWyR2pHGEpnUjC4XlApeRUaJRsDco5fsmq1Eqzj
pGKR7slTyTzA0bmLVdmtBu1tOZOgE+mFuWG4SRoZUTRFL240zXzvIEZBaWivjeM81ojNjl1pANrU
lnfCdu8zEyWCDaoHMwyRa70UH/ME2WWaaJYZ4JsBI0wXcdI6DXCokKOC5VeU89ZhwImgTKl5A6Qi
aEVtBRg79nm8vNrJUMHfqSq8Dd5ltNqLppjv+bAYYb0gYuhy0JbW4Gy5bD+62TzFdboXsn6pnJh1
XNKSJ8R8qlm0k8qCbesuyhTqo31vLrp5iNFA+Di5GXLo2UVjaoAreSeG7MTA9S7r4PIU2SEZ2oco
aT+GxevDau7Ooo5ubKX51Ljk7hoCIqCaxDYzNc69Lq15cgvIQfU477K8fq7qQQTODHeD7C3fitBY
zUxQgnSan7yeiN6xRkYxVQ1fPM0JzBwMHscFS/qorqKCOvAWnVmSSJ71+X3uoF8geU03FXF0CbF0
y5pPpxFUV6yJdeQFPX2XexmE2f0/9s5suY1jy9qv0i9QJ2rKGvoShZEgCXCSRN5UUBRV85w1Pn1/
SbdtilbLv+O/9c2JEyGTSQCFzJ17r/Ut0xavsUq3mzOXqEAC7/SuevEJwFsIwhsMHoaaaLxaZeRR
fkICVbl5hkrQawr3PJDLheiLkKBo1GirDteC2D1eKi2k+LQgr9sKlcwXDRrhvLkLAZzUvpjMWRgB
SYDcazrYKtqvDr/ELtf3ltC/Ag4cobfkADI5LhUR78FSGYGOSgtU10iMLm/Fwb9VkkER/4sq6fnb
a/sTXYP6qT/qJHQIXFuFjQTBV/LsP+skvKXAuKiE6GuDK3iva3D/4zJxID+GCzneivdyMOc/rpKK
e/yAZTAs+EeScdtRRfgPXm9MmC4TUwtoGXuc+iPeF+mabsydKY3oBP6Gpj/npuxgR+WktkGo/1xn
GpWA9NcLuW6uCngri4gGR78Hp/Zqqwi40RfcH0cQYG5+nOCArRY/hX07IBsjQU7davGgwZv0SJfD
7EXySeL7GzupX4y+Jh7G669lD4/fGB4dMuoMvhNChdbhOHty/Hyt0WL9RMND3zM9PkbFGAZuKNhk
pFFte3LwqoSCKzLMR1JFy3WjwvII7UKIhH5gS7Tu92HsXvGUE1OF0HvjVSmUMHL3qiy+IYTweSGP
T1NZO76K6KsEfe+M1D6h4vt6YrJWNXGRq86tvnpk/MVk/RWCrbsdeYm9CgLsauOskQyY5tFVRVJg
qiIDAQMRWJOYZ5GmZ720plWS5JKih6jBnB7MDnHDsBq68YXMO6gbRp+ssthDmxQLTCh6es9I+IwB
hcg5HRxaZ/H9h9x715F2WBTGDcdny9FNgqhGImJMMmIsJ6pBwkPdMQbyTHpiZNQpfWzEq5hF2P57
QcmSdJxJsb48ELdb7v1KUPRKtAaRCmgECpAyb52+oZubL6IhNshj0xERq2hHa/S0TU3ao9OQ+mh7
NRrWMLyZVSRk3Eh/O0f0HPy8gMupoiNLFSJZOdquUszXxKXV1zzNeON3XWQpmWDMthu5+B5JpSRF
BmAAmZEEVYbEMTTLxnUJsaR7+MKcl9RMFXAJcKTY5Cr0ciL9knPu4ERtfZVkNRlpEUBRSCnbNCE0
Uyc9MwkNuRlUoKZpNre0x+O1i+dgnarYTa/HtMQA3tq3JkVl1C8vfatb+Cx7mpgqujNVIZ69ivNM
UoI9AcZfoUr3197kvLY1Eeqtb1yXoywDS/Io0/me1tGQEDQZMb0zNOeuJEd0UIGiCZ3mVee5+V52
EzjdaLzTVABpSG/cVZGkYxEqhV6J2FwFljYkl4Y6Kn80IfaeKKJHPzW/0hPeuSru1Jy6K437Bu8z
RaxNJuoSN19n31Ynodu467LznRvqUYm+YGHySBtTnWmTOt2skWTY+PMU8Z03M69ixMRJOHMkzups
dMficVSnZejhCQ7VCQq75NOkzlRHna5Toil5Tbau1MmbcQR76iweOZSpfBDRq3PaUCc2FUGDaIhT
nBi5+4VjvXXqy16d831Vfk84+E0rPpSmdxw8AHgUBgsFgkmhEGvxla4qh2pG7WfnDM2K1r7VK2dY
G6rSaCg5PFV70DI/AHemGsn4w/1o31GmoJz87lC2YFtUWxNxF2ExXxCk8myqVlhjcGg3k+QiNA/O
RbJIKpdoIuo6daX8TME7YHuMa5urgtZWd9bYd59o+I/Mb0yC7Ry9G9q9lXjiKcoqcSG7Oo/OeZRH
3kE2mv0URo4ZXqUC302BfGHd++hMmN9sxGTyaIRRTjFvp3u7InYPkywZwzx3G1EzGuEpfOztfr/A
SkS54exjZwnB86H2xhGPAKQKb7xlOU1lLwNAokuA1+ecOxHNSFgGm6JO2J6y3Nz0Ufo9at2b1sFV
o41iixKt3oNbzwMXAQyTMKYuw6dGkAPIt3jnhUAu/B56o76cfTs59tksgrrWn42JfbwCj5biuzNG
Iw+kDLt9w+WNZy08zZluBrMEK68BIl2VyGizQ6myIDurfHarISa6hpxI10kukyz9ahIgWaW4fCmH
ywZo2ELEZGiTNcnUMsNQkN3jdS2ZrhbZ3sOpUS47etI7bfBOkUquHIiwdIiyBODK2AFFiUvIpUFb
a2Wo3MtcJWC6xXhXqEzMWKVjtions1SJmSQOF6vUTECAgAmZidW0Bt0IihFBqOk0t0kqkCW37mVY
N+dKpXI2Kp/Tx6LSxOa1HXNVERF5tW0LCp1Qz8ypzhUhnxrxikGlO5/RCr2kIzmg45QfR5UMSuf6
GIJkF42HWDU5zQIdl0mYaK1SRfu03ia+TqypR3YyuaOEk0aBo1XGqsd6VUIWCgSziHLO1yBb7rjA
cQcnxNTBjb8dVa6p5cljqpJO8RhxWZ2nbUsIqi1JQ+2TGLsKAakkBLA/Y27KBvKkteSO8DgwGe7B
RC6bEU02kLSaWXzUOplrrQphdUljLYzoNfX9vSCoptL415DcVjmQ4EiOa2HGu3/ryd/sBTR9f1VP
gv//q0xWgX5+LyffHIhYgRkFIZrBwfSunMSBaAJDcwTIYeUS/lMuA4/E1FXuFiZdpWahCPyz7aaQ
QrTwLOY+NhKUf6KTxU74sZzEbYz9AYKk+iv4hT+Wk9w/BanH+nKyivhTY1Hv5Ax0CPwkzchYiq3X
ODuDh0jM9FYm/xPNo2il9wDjC9+5Tz37yqrkoSBfCS45iUSuS4L9JmEG/ZBXPuQ2U7+JtLI9SDZC
IrfzVPuKWI9tsjSsIT664VBM9D900pdzN913kjOv6NP+RsfIRN6qczdmaqJBiLwvwLpNpbWuYxoO
zVTdz7P2CRD5g0VJtNJN9mS9pb7Q5lOceBcGQQ6kkr+0dIFEVo6rKNVv69Q8sy18MoeuXMeSb1Yo
1Wy0JYkiLL/PLWiz2DS2oY0Ry+Q+T207nZDXPTc5xYKAtrJGHfetGYtlLXUG/f7kbSJdcqWuYtpK
tB7hjGn2fBinSguwfB0NkB4WkILeiI9L7wbAmlwsa7G6ZA/Hdqg/x7r/qNkuys3cusmqbiMFsPiE
rmebLg+yHbdDb9TXRjhyVlTfTd1gIJPc+r2qSK3iso6Kg1HMn7KuP2rV8F1vKUl1bXYD07JgIiRo
6jQtkysrz/ZNp5GEEDsBMj94HPQ0CfiOvZOJiQLJPZLbQY7Q9qsxkCoPskqRphQ0UzdelsHnmGoj
AET1Es/RRWnhUpRhqq+6CX2JZ7JjWfu+b09hDr/WoqsLN69taswdTl/sJDFv2Yok6YMl26DrxJWc
aDlZFQCbGO2yrYdfM0gUWT5pADIp/MrpOXJIfuJ3BlXuI1lQSRUxfrPY0p71lgyWdpDsrRkjeHym
sIy9K/rMYDv0rt+SzOZc5qNF2ELZ3sUdAhhTFvjGzEgxOfx0vbT9HnzFQmICTZ58cNce1fqOibbc
5jz/1z1yLVezD1rTfULGttd789M4SANgTaevZWcaTHzM9BJXDeUdQLtNLICFh0OqrcqJAG1ySEKI
moZ+XU8WTBJT1afZsPNtssHG6KLIaINMjfnM8EfgUJyTk2uZY+ADBZy9YtvLDgbNnOSBGMuvc1dt
zSH5UkWkfvqkIUQxn2cK5Odk2wRhECv2blP7ieDtw9zmLamPNDMmNiAIIJp9uHLW1kTIp+Ybp7x4
yOxvQtBhPvzjJXxu25i12SN1JB4/bkNzHU0dOFL7lHVf++w81/elf/nvGfV2Rpm8Wb84o17bl9dv
fz2k1E/9cUjh5YBfJwSKGsWZ4J9+nw0BzYIKBSCUZogB7RUdw++zIYSgGDhodpA2SRTSe7wdPQ+b
FiXOdosMI8XL+wdmDholHw8p5SIxse3y9JmoTz8MPy3NHIk7ybKToYN4ufBlUus0Cwtb4x4Dn2lT
vMWQ903aAM3M1j3ySaaZ++lw0MN0V6rLLoP5lDzzWAWb18lwTy5De9QnQle/hKr+dSTO5xm9Z0Da
L8Vxxu0Qy9m+NgViCkroKptPk0az33fN55BBW4Dl6lhTdpfOhCiAQnyiIK9VZd570yeaFN8cSvba
qvgFMDL30STYxr1qb3f+DXrp7wOEX+hUhbOS6hZQjzJ7CLkYgOhcApxqSL8m4+RxeRgLph+Ouk/g
G2GvaL394DAjKrJxjz790Va3kLGa+82gbiZV1Qwbdo90X9Po3vgoIgNRhVw0mvhLnzVyXYo620XA
30EZ68bWQsTFDdrCMDc6Mt6zT0Y68ZAcoSvI4AhFcy3fY2CAqkU84a4zjPwIuSC6daU7fXYGiIOV
y6YHOUOcEpphQWQkxvU824Q42eYZejL89Y7GsNOgQiCpptvGVWHE+PVY2kw9kkQauQfOQ30ft4h6
BmNacTiE3UVqtKjRe2kdvbq1l1Xhz13E31A2yYXtao5xAGOkZVsTdTxhLZnx1Wgse9332sptSFqM
mZPReqV1xVET46NW6SFbXRQ3TAYJUJ7mCsBAm73SJ/sMDOqy0mmgFO64y7kfBUAcr1pfu+pQMYJj
Staizm+nuLyozfbR1LLLdGR80JjFvRXF40bG3ovNNYQp5HVZTNz4YulmdJXmxNzAI7Dwxos4Xa4Y
yQKKAnKb1cBHLHsID7S0D30Roo8NuZZPcOk2xRK9LNMIq0SvKjpbIZmL2KvRnJRxAA7iRehc3gUq
E3DQsltb8bTpDbl2FSdMTQDhnwi8BUMKVApvOISHa/D9BVYHwRUzKhKuDhEtAv7LlN8bG/7GnesY
g4bqKwrirb3FHsgRSoa1PunXroANmbX0Y+YaQaWuy6OTTEPA0W5ukrzTMF6aT85k0Dicq7tRsV38
Gdw85iJ31eCk8bmFr6DT+PTo3NcijL7llZdjseKOms4o2bT03AsKtplhoaFTMfXdXGwqQxEZq9Hf
ejz6umGTi6O3EmgFFDHsmlG10B1I3Sq7KDtZ3f97fvx2fnC7+NX5UX6rXpKfygv4wT+OEBOFvwG+
HKUAT6VqgP9xhMCbN1VQHvHjHO/vjhBbeQg5d8BCvwGPFB/l93sOygO0Lvr/Rvn9g+NDOB+EPNQv
AuUDbXOwSj5hOx+kBS4sEQ8zsnYyeMCAttEgtZfXcETgnYncWfUW6cNGum3nqMgxUdXtrd8W2o3p
DhqBrm5VurcRrTcP9scMKa0z2s902tz5RWiEyzpxWKxMhS0AhQ7KwISFGHUj/4973I7oeXCgCnkw
yWTaDLXmb1t4CGWd6S9RAyKhMad6WylsAkQ5uRoUSkFW/LeWwiv0mdk+1W/IBQVfWMiouRhL9yJN
W2s1Yp0mnh7NGcyG3uy/kvvH4EzhHKiUMSqrKhjSw6yQD4UrNrFvD9eewkEUbRptfIWIaOcZ0pLC
RrQYr9BcREzwyMny8HWvTIWZWNDVMkbvzmlXWjQqZP6I7W6+MwwGrV0CvSG7TpooBtjm36QL+DvA
NqgzUu4zY3IamRx0CVRCj7ujLXO58hQSw1VwDEnmxkX5BsxQ6Ax6f/qme+NpIC8YV56CbAw1Qnk+
Fu1Eht68ErA4UllZgUw4XBSmIxuq6WbxQHeUnZ3dTNA8KoX18BXgI3xjfWTLkmw1bQ1oJrBKUt7S
FCpIq/ggyxsqBCynt6bdC0AkjUFHASuswzv21no3vIWs82CXh7Idhl3RgfYIHc27Smzg4Svph1cE
A3deeWU0fXhj9PFjHpOkFpfOc9Qibh1JB9lwrX/MDBltQll/131y6aUWXeZqSO+l8ymnVUwkYfE9
hr+HqlCe5oLmMF5El23eywK/RBoBNvTQDo17YQpuYUM638UpigSzKHZ2zP/4Lb3KSfRM7WcF6k16
sFtiJc0edmA7jKZ9NYhau5gtF6ALnvOzECpasqXHqndAq63A7ABv12kuLyFVMTDhQTthvHa2bSOa
o2NzkGtVxYRAlVTe0u8Auz+pa5PUuQLizOsuxqmwVvkQGUxDQ+8aVNFWK/xvptZdOmlxU/X9Q6hZ
V13tIos1tfp61pL5YCriLpv4XhNcPwvOk3s9DcON571KbTomOfph272c44oTKo13zTRvHKotXvPJ
m8tLURRPy6AdhZFcFjFdtKQX4VXp0RgvnNra9nF0R/0XkYiZH8Dv7bOGD8mL3Yt6TNDQpm64orv+
HPUj30AnOU1DRcJg6bcrTQ4FcSlNYDj5Aevsxmvb5wLr5Yi4Ho7Id8dluiuLbQsXmRS1QB+4pUUm
/QaubnGdHlxg8/44BVSyb2qlmMlu/uDl+sm0+wcyHrx5lfmVw1zPdy5Cb/leN8YtYNGDS6yaVRQb
hxE/WPfpyMg5SIfhOXasHbzNDU5WYu6Ed+6y8tarzG8+sotVkVuv0p9vbW1y1kVTX83NAnHcDmo+
Y/TP0IEQjSP0DoZFr9G6Fy/Y7e9H9TwaWXpo+/i8VNOpIJkSTNIhnKq9W1QBG2kW5EK/Kcrpem7m
wMQSUIb9WkO4AVFuR2Tf3kVzW9RkXXbTVhNKSm8mL47XBzkQVA1gTxa7G2y+p7LWwX7q1Q7OP8Ll
PjqbEn7MEO0nBB5FpV0yVMNTmND0NBnaT4ghiu+APIIQIQttsiCUWHHz1yrsbyd8Rqmn72eGfclY
fhGMVboF+LzNGrQb7NA8Mci766SztaFTimhC9eArG6a59nP4MdWo7wq7DfzQ5wkMNVAH+tbzi+8z
skV2uC1Tx6CLvbXjQTaC1nmg/7EnxuuLbsiLRXh3jlN/8WIsvcN80xffyrl+bXRS5IA9rFwr2RJB
tO3CWUV3b2Ki+SIrvrFIF6oG69YMmaZq6NdaHQeku6p1fa/5w97rtK0e53epqC4lJuWWv9QleG/l
iBp9G9x6vd/yVbzufG9rWN2FFc4s2GyimjdsKrs14hS4s7b5MvbVF34VY1YwdnNnoyxKAZG68RiQ
sPDclR1NHO1IrtFh0VwEPS4VepuRTschEdd41Rmt0oxx3J0ph89FXz5JqFsznmQm5PAroF9Vst2X
HsqKqahWi/CxQAxfxlb/XLXpLQBfpgbTNgl73jt0eaXcu1LwdLqA+4YbmOHHGtvCoCHfSNy9N4Un
kLGH0i4uhtC4iiskx2VP/GE+n4k9ogE/EtnpoU3xLy1jeqwRsM0tPS3T9x7CFgdt253KTtzCkNJX
JB3c9XQwhpr6ul36VSnyy1xEcPcbfTUyD27VRrVUX+ZMHs1W7GpK4Z7uXoqZvxtV0VMyFigfVK6K
YVZHzbTjkxbSt4LHkt918CmCxZQXLYPVBb3UAGNN09JvTNceUlnQucd7wSVSPqLHXJkKGlvBEkuM
b05Bv0g2X7I2PpAfeGK/hQPSZjRgu6NYEr6XuZsFi248xqKrt76V3RctsfTNlO0yyzinGdTljHAt
imRri7hoH2ZOMJpasUmWKhiwJbrRGAXGbK6zHKtHXJ4ZEu7ScLqYEAzWGja2Ln2WKP8UYJFvQMdM
dXA3kA42bayVAaNMxg59UOQcEmDg9oPmfRsGbOQJmqnB3ZIJuqEPxv7TcauOpmU7FeVxltGxleKe
WT1nDbjesmtWMskCLR61i9Ik91RnTsLdrjWqQ67Jq0UbH7u2fsGbgiun4/aQT1eQc9Ec6hx/70ra
/6cOl0DmbUKsIB3FB3DyY/tJjm3bgh7XTnrB4BgxW3arMYD59SLK8vGncgPJNmUoWnLafLjQ0eJ+
aKOhedAdZCfaafK+tgxf+8epgiC1LsDK/HqlnxW871dSf8k75XoVVrOxhKxkkg1twyF2gTosh8r5
lPZPSeUEv17ur/1BXhjfJpVDZWDQ+vDCTGbJXphX0XnQnmR/bKKXMn/59RI/e0VUyxTLLEOq1Icl
QqRQus+l9EyAcTruesi+eUxTOtol9OtNef3r5X7yimxDpXvT8aQh+TG4SukPzFmXyRkU7Cqx4NSQ
bJD9zWtCcf3xefhhEfXv7z6lLtSkcEIWSdt2JdtLkqPW/38v48NwB3IFPAx4d2f0Fg6mq6y6D9Fu
/HoRxlS/fBkfPpo6m7N6KLrkPGnWCq2pn5wJkWCDexS417qT2Xd/s+LPPh10P4jEgWcK2DM/vnFZ
4hVJmRrJ2W1uGj0K6vzght9//ap+toYFOsZG3W5CBfvw1oXC0hxvaNMz8A3aiyD0qmDMH369yM/e
OmIkacSRneOab/lp756AaoxdN0lIeW7rx9K5jLkpQnYm+e8u7Y82QowxvPn1iuqZ+rAHscX9ueKH
Dwt7FnZOY0bfxHgFIi3807/ZDBSi9d0SuAjw8LtA0UxYAA7f1w+bT1ch4Y4nozinl0z9DhyeVzAu
N+ImvhUBcedb4ou3v35VPy75trP+8Ko+LIlyrZjASaXnwcG/RSvI9NkUqv2vV/n5e2fzlnByCkd8
eCSchf64xKR2Dhs/MJGyePJv3jv17n/8dNAd8rT5TEMY8fz4YNdQl1H30fxyufrOnkm1+ZTYUNrT
9G9ey8/esfcrWT+uxFSuag3XSc8GcljvRoR3zfI329vPlwBxbZA1yDjww6OWGNng2UuUncvyJDBO
TWBmkBn/zVH3s68QD9sfq3z46LN2iCU0kOycZC+5hk9V27RocHEaZPKsZbtc/M1n9JeXZcK8cEHx
MbBnEm9/KBWIc3Lrwq3ysxx2Tfs0Optmuf2HD9qHJeilvT8YSpLuLXTa+Rk18MrQyKxJxd+8bX95
lt+WUFpVWMY+fbYfl0inqdByblrnLn/RloNDe/nXr+EvjzILkBvH1FDQeMMn9OMCbJ0uYQJLcabO
K3oEp+khgbRQ+q9v6/yrZFZV1P/dlb1+rp9/MtPjZ941ZBWnQvCwshNzhr1ryJJRrJq0eL30/9Wk
/D7T8/7DrA9RChE5+OvfJoF/NmShnfj8i6VGhfRl/8lMD8Q2D8Cfex1+L66DcC3V6BALGWqWHx+Q
tukKW2DuPNV1x8XGlDgXfGYDtZgfjLTZhWqKMhrNOqz7r3ofPiXOhPJkso+dCHMMKNqDPzRrXcxX
YuG6IWi+QFGTeEeSk4Oicw69s55HRpAYvblpuNhnk381WuKyKqqdF/n7PjVPqV5CHoOQGbQRsGwG
I3eOIEEOYcir5pRAH33qpsGOrlwHG60GTnHlNWIzm0qOqNEtsJKDLkY3qE3vEzToc2fmJ8GIElFg
OXAlHXLEZvMunNB/zcK/ydPoLhqzgOxmDDyCHmmUVzpTGvt1rKL0aln6+rmUrDOLYbdorQq3iECr
GftCy/QtaM12DcA+3kg/0QHbRfVFr0fZxqxJfu5N119ncRMkudj6Tf41wn8uKdFWJJXsAP1y56qg
CUzA8beuDlBkzPatMpOAVyOLI163dm4cwKQcLT1PLgx01WE5kxXcEtUcZiiaM9AS/ujcNUbiIE9o
ZaCh+kP40NpEtjqHckSbWi0+tuhO5AeGutcO2gyrLGXQyfCpi7z7VKM/kGjW3p7DVzbbEmrzRIPN
KdadSNH0VQhpNZvM1jjsmBkV+v3s0fBwJ3EoSrTCdlTfMoPc07V1g1jQhIuWrgmqpAvZzQZ9BY2B
NK7U3yYlKs0lTmZo0NhjRJS9tEZJg6ExmFlpi3nrN4ZHnyJDtoGOD4V9vNYYyG6HUXHVc4VYz5AJ
ktAEdj3y9DEYNS871DDZJwVnH4AlrRzTTXeyEnmzb7uoCu88pNcXZE9/i7QKUjMwvwtCYJMAVuWh
baL7TgdSp0tzb2u1DArpbLq4F5vBK9feUFbH0muvCF78Xk1lu7KXkWH18KXuwFzjK/vUmw2Ce2yW
AAbrL0Pn6QRzL5d9OV0WhW4HrZcizvVQx1eQs0dxha+Kr4T2SY4GiSlAbFKTjr8T2SeXWSrxI1uR
MGOmf05OT9btMD9e5g7zDN2XT0sdngY9e/CnmO1chIfIbDCbIcoMUqNJgIdV3TaJSxgP2VUcEdqQ
R/GGONCrMvf3UoAXH13tWxImDwh6myDSohg5p/7NSupPQ+attQgiaMuE6XloxUYztEdg1rRIpXdl
TXhyjNnJbpzMfqLMO3aG+81duuMs6uvFwOBEZM+qq8RpqirzqmwLkPRNvqld52hNbQCEQsc2Gt8O
kd6vsmR+Mt37TNvYs3esE2DgA+7tME5aWODafTK48Hay/IYBj4YHrX2sNXmbQhfCOEbMpWCA4Fhy
bY2I+pN0o2nOflHTHkRQtH1bOhU4sFZ57F/B86btm50SqNG9zadu0scZXFDmWbE8+c4gt5IAS8fb
N4LOd66lUSCH5rIfl4NfJ19p8QPUMAz0SCPotCS9k7n46rf06/oJoG3ZAIvU0LIbRciXuIoZYseS
GT97IYT6fNp1JTr53+7G/564qpT7v09cEujk83+tntuvzz+zEKkf/v3oxU/N3RQKmg33Q2FO3x29
OqncSDtxTjMoNWxKu9+PXvEfA6INCDRHHbJvYLXfj15SuR3OSA/MqY1k1P5HcpofSz8OXp/zm9aG
jbeTDdX6UPpbsaGNktHSdcy0pLuepsd3b8v5tyP8PR7NNlTx+MPRjgLGxp+E3Yk7rXA/1K992Nky
FFN/3S9iY5r197m2r/MwvRWt/I6SEvh6m6wL20JiqpUHTqx926SgAomadTSH0dJo7Uq33WsdXuo+
3hKC+k0Djsa97pJIpoljJBtXS5yfjMEQGWesbKxTxFxOmUNhxfAmBiJuihnE6rx0q1EXhwlNy/dR
6PDhCZ3kvE3ctW0n+TfAY8RGLEa+sZndMgmLtC9pDuDUz+yXPoZHJQ3c5CBAmyPRFJx0hndCjK9t
cq/94regt7nTUbnY9nhOp9Fg+lnJrdEiY5zb8ohQ8ykzzUtoKeTlFvPlGA3NPi+rPSfism7D5j4U
+c5aElgfuLmXpXzS9BF4qD19LzLtJCefYTKugW3PjBLTz52bFitNrw9W4z9lurYv6/5C1jr37H6+
mTIQTwvRCNHSrkFTXzSu+xwaBBXgGYLJpq37LHmWHVPrzrVx93r7PEpPGh1iNBco781HJoAXfu+S
sisu7bIR69YcrnKUOQ562LYmnoR2/aqy/U8pRgxsD/m5DdFodkt8lIn+WDdE/MxaemFr9j3gMRjZ
CxEJ1mLfJVgbg7ib4k3vJYc5JyxQpIzhwtTZ6Q2No8rJnnqbaBGdrRsY3iop5bAlgeyCMUvA/Pqz
zex3jMW10zmPnVxOWWLfxgUDjj4sdq49XAHtP1TzSFZz+jkeGDoX/rgHrXYJHe7OMSo8c2n+2Sy7
T0bogqrpt1XrXHiL2GpT+wSEHJy59DEcd48VL549dAKJuXyDzrthIBJAfl1b2XRZw4UiPIHpmz1D
Q5UgnAhfCVeR4z7xLcDVlD5GoVLzIGvean3PY9N8n6t07wFasq36SRlHNE2/6/CKAANL12isA13k
X5csvMkKYwHjGV2SKMoQgGHOytbc+3ihUKv7GDAuzE29KL76BiIeDXb4xltcQQBBV14kmObXWm0M
a+Hcpb79pa87AE8mCp+8Vt+edLzTjfSo9dgrzAYGjWgABBLPcTt5jM17PPZHTkxF27W6jZ+jNDYJ
T9qMHYwGaTqbBI+6jktt7TchHW2foLwYpwPGidqh6CzaAXF0MWtkGoKlSq6nNiEkuXb0NSl4/crK
6ihotYz5ByK8tY1Nj+xDTd/IBQxsKcPstvIcU3J91I+1owa1s7mSTXuUZM7Vdt0dyh6iAnhBwqjN
ptsjbkw3UdJfAq/HxZLVwLcAq4fT4m+WycSYYef1ppJNhXAuyU9urueMMrXuhqkxQoGwfhHL/KkN
rWc3a/bsb1cpxpHAxxaJ1V67DIksVMGGKA4cMQUSHfsdynPSPgw3zD/3jF/HAT0ZCkfYW5BxzDxo
U3vN0KEnNqM84vNiQzT4o93xpuwtepcubJ4K314T7nNLuePToF7kJTr5XSwwVOX6Z5ocXAH0i9EP
8105ZU92Ggo4v8qbGDpHg7k79uHE/VqPhOABp0aSYaNPv8+MAuF4Yu0stwJbQfJOEHtLRuZd0l4t
XnZtmfU+87sbo3EwNHbM/xnoMbUSa7a8g2mEPW5npz3k8/Cg7N2FWQQ9oIt83TEe3syjLHz2nP5i
1J3qqbSlxv6rgUGKudD0LRpypGPrtkbYi9agnQNc18OeFPRhxzxv3rH1x5/DhhXMPr8vuUutQVL5
F/3cphdclK5L+r9B7lreAR0M+T+Ve0+wCmAjO1U6QLNrMAOFIQ2f5t4J53uvFMuXJSwTHHKUpKKP
mLqO01YS6L2r9aHcwajEPscPooYQ/Zc2yb3t5M3JEuTJGHMqxXJvEzS5ysZ6a3lFu56L6tEZau41
sAXcGXBvddJn9yJr5gc9TjdDgi4DvclDn5v3Xt/44B2nAdtN2q6rMJ+DmjRl5lv6o0UW1Nqa7OZL
79TGGg4Inp6YBx1cBHfL0PpiTr68C00xbb1e80nN0efNr4/nD/0rBfnxmEEZoDoFviFHNdTe9ZwR
ijiWF6XltVQK1wmUkjPejG23/fUy5s/XwfgiFEHpr0WAdBcC3OPyuoAw2DnmA7vSGWH9E9tluxpn
nw9gzvcD2qfcy/adGV/CpVx5Znlkp7oUXPtSP7uBt33rNPrGivug94mXicJXTCHIQ/kK2AtMUT2i
U/JHXfeTAuanfzkGa5funqBzSefk/Tskir5KpJ+V1yMohGhGgwJvq/pNjf4y/Xf0inMsR1FVvq+S
3mI7/iySADqhRKOXbKpMYezcbyF97z4HYCg1Cff9cF3jIoDfZh8ssjNWethwbjBQVXP9L0ToVDe0
7NczTrPRG+HHzNzCQwvnZVowlF/6G6Kv/LuSU6mvhmsurznfElgSAgr3SlTRdUKE1BQK3nOT741T
IK2ZfbHcCiN/zmTOfTRKdssI/rwzALlizwAxZr1orblVcd0Bu5Kzmkk5D6rG2qVxm4GSwaQ8xw4k
SPMVSc7z5KrgP1wik5tfzYsLPNCdNSznY3qlxzVZPhMWxcgAOhj7qQsJPPoU9kZx34yC88OI0O7U
zJCdWu4dA9ZZxRFncD+dUzfb1Lp5oiEFXHOhBWRY/8PeeSzHjWVd91X+6Dkq4M2gJzBpmGTS2wmC
pEh4by6Ap/8XVC21RFWLUfFNa1CToshEZgL3nnvO3mvnp6H8POibwbD2rIuPtpQDgBDKbk71xxwx
RVDWJaBAztcaWSiLTukx8Zj5VgQmZZKKXdujiSqUicbJ+Jwlavw6k0Qkm2SOWnl8plYLgclds4Fk
iLFYna4K08wBuWJVNJfpQKrXnwl+//N2oOf6U9H85/3AAwkx0CANDnjxz3cdjesK8KhBhruiPmtO
R4hqPeZHE9OJy3r6FHXg3BlGeYo5+XaSty4r6hmfCkaTGFSnGnVndDNcsahnRmU/aHoZb7rCaHDc
yzhxDZRWUYL+ebRHG9SoXuxUNnVfKEnjk9BKPcJCJBdV6cHwuUYWPHlK3CHgwEjr9nWzesJIjVte
28p8duj8AgCoLK8t1FtTnamdCVfXesU3K/owLRoltxXmQ2qbexGqXxjggigSLANkj5nldBM66alF
1FkDC8iEHLigyx9m9doYx7Msja+bxLgCcrQ15/4B25HuUjfKgdkM1IKI27uBRBJ7jXXRAMcSOs/O
YUrPEveEVzvao6JJD0pMg7DpFy2IUfGMi0RLaarQ4bVbWU73DqZTnDjI/UZfz8Dj2bY4WPidhDJ2
bPNQVPP+RiP43oHa0VXzsybIstLa59LCFTxznQBfMw74nLxPrdLciEr3YyvBO15ivHKSy6yWsv1s
L0HVIVXL6RjUFDSVGXEu4WEcJedSNP07nYbVLUxfZkiB0gwZc9PYVyPYQ4p5anZQljX8eLZCPA3K
dU+sFWo2xKeSEgaZImAuo+SSkgsj1t0oxh6USYeCXRzz2c5WUGvW3YbImtLZ67qvKOyaeSg2Pds7
3ZLaH6Qm9fNM2qbCPizoHywnqV2hRCheaP+gkFQ2KT0yQ9gXoa3s0OwcItGcIvKh6u1z6TyvBVam
3DrRI3HAC9VgN0A5pNWIbYWc7uJanEkdp4ScADwNKfdgkW8hLkwjsDCEC/tYTBuT9DhSnq3xvpbx
qxfymYlfN5hC/RSoLZi9MAwPMMAsrzMUBeESdFUxLn5N3bCrZrTvs2ntMIMh+6+IrcBbCDWxVT7Z
2j55Uj/OTtTYmVOnzga6mrC4ujN0cN40wq8S51l7pnBi+f1+tI6wPu4UP6wMqxn0x/1IjeOS0wUr
Q1W90fkapyvaymX0QCL2719opbD/8krYa3RohzBG9I8TTtHRfUrlcaKrNpNFlEydl4TqjUE/cx9X
sAuyaYQgldDeVWTlzF7DEs20kjhMENEk+Ltep0jvumxfYtO0cSYOd1JSnVeydZ1TvnHq8fpOvZ6i
bvLLPtoUffJUpvq9FOf1VTRgrDeIANgWxnAwaNpRWASzQr+VEm9b9pp176jOdb2gFCKMbtD6faKp
hyWa90btnIsMjRHbNk70Q6aWPEzSCnzysCveF3WLNSHcixpAcj5h6DYKMCJY5XMRPTaT096rESFy
aqdFn3yqP/db/lzYf/xQ10HIDxt9ZuogruH+HO3pKV5eZvsT7dJnf//DxiFLOTUyyFTiYa7pd7uN
dvvJbfH7u+IrkeaHN1CYRSZnajQfDfUiwa3PxyTH8ydj1Z/HQd8+JcxnlKSKgVD/509psjoIKDrv
wgH81b/2oqAmuU0m65NvQ/35Hv/a/iIcACsCzS9K06/yhR/ezQxpRERLrR4pY17Z1PybfBP6UjC6
iXfvlu793vTG05erxIvvpuA5D+YXnuhup+1//6mqa5/tN4/11wv94UKcMXFqJ2IZ6Tf4ajw5mK6H
LemEGydwvLzdKFs+543iMSRw48Dx6zHQj+Xr76/C+Kur+PHu/DA/zxH42SoN6+PDtFcDiNUb58Jy
zzvdjf3tveGdoh3eOsd4M+3g/e5uQp/EnB3rnrts8RSAHHEz3/Gl02FXbrtzNKKI/vy7yh2Osjdv
jb2zrw5i194Wm+vfX/pKrPzlA/zx0j+cZCS1S3Jo5dyXLr6oTfdWb+obxW88mIs+GakBAPuTanvx
ehoMe9x6k5eewKA7SY+kfnoh8BH3S+jd/f6q1J+bn99u5O9rqLn+/IevNSFnvQWZMR/jvePG3rIj
VOGmhPTOJMY13dAl3dXNt/ax2alPNNKC37/+L4cXjhVImL8/Rx9WG5Yaae7qeTrKSxVYQhwWvBnj
IFefbErrqvLx7v3xdT6sOnZia+O45PORmtodxas87YT5MmtBI/e0oja/f1d//VV/f1cfO8pSweJv
NOlwjInbm8OrOrr8v73AhzOfNjG4NAsOUJAd1ZQ+oGP5v3+FT74Ya30Qf7gvpKK2S2vmQavqY1dk
m1olXcj+5Fv57HP6sIp2Sg7o0Ur747R+KxhBnSn1/m/v48MNNlRLN5RdMR/FOAEZP5JFBtHm4vcv
8sndZX1Ylcwwkmaac+wGJLjrThlkeX+uaYNnwQZKhXocEXn9/iX/8vsxHMUiGlPDsfzhJVHKaGGd
9MNRL97bdJNpMU2+7e9f4y+/nh9e48NDQ5BzJzWxPh2Je6J/f1kUn3QVPnuBD0si+KFJS/H+HmUW
bZrRGaTo37+FD/K+b+vb90fxozQ2Thj6hDn3MWcDl0nuCTaaM44I3knrxUF0PnyKvv6Qkv7rS67v
+odHB9G7hjskZo96oDFcsqqeRby2K56V02U/uhcLDE22biMAOebal5J71Qfrrn7x2FxoJ5zaGTYH
+Ep3pRdvPyNz/+VG/uNS+PHOSVohKyEPnXK+buSS221zfV8qnpttdf++dE9AdR3e5RcOZ+3tfIBe
8cnqtYp5frsaf/jeR6lDL+bM1BI+0DN/NYSZrnPI/Su0F6fadvAfYZi6JR3bTbutt59LMD+7BOvD
vkcUj6SXou6PBHa5E8B+N/1CQrNvHYa3aVcHxam1BSn3Hj1q3rTNzgnwevv9rfn14PWbPcn6cJ9k
gFD0ruTWbDfTBlCwm6xV3T7zbsY9KIBkLVqOjMbviffwi029tS4Gt/WHIN4T7Pf0Gb3+68Hsl+v5
7+P+0VVgSw6zoZIlpQn0rbnFlzJtls1ymhwU9xVD1QZn9b7e0dQ7nTzrNrCpDkC7brPNdeKvRcJ/
ioN/Rvdrt+x7i9d/ZlD/hqy9n4/Pxdu//3VORybiZvrz/+2//Ptffyairb/1fWYPznwlncu0x3Xl
K+ditfL8+18SjoY/GNQT90Wv1jD0tWP+bWavEXgGIxRLAgEcX9me3/3L2h8acE7+48+u5Cf178jl
gE/89ITT3QSlgTrAkWVYtAzWPzQBGhP8i7DkEBCBAphtyTPHU0DUHaSpkQ+l1YFgk+R5YDYUnyTh
/GhHCsuilb5qI9EnkkCitoOcXoxBo9H8kuuGFF0GlJEHUL26i9qRmBgM3B1tIqIDcUMmpuqKmnaX
Tg7OWz/IYbtRS2MNPEfPU4KAKsl+3MTw15ugzzt1PbboYP7aFAcjrG0HIREIxa9hY1lSU2+nawbZ
RASxREIFTCYa7EYSjgCXCEi0FZDVK9Fa0pBt4R4lJGommTgm7CwflPOa8LOO+f1CGJqiLYwLnFXv
e6pX+Z6uy35KwsUzTKZOC6o1r+rGwVc7PT6tdUbLtXSR0t24qkP70K+JbOaazcaODKutq0j2kkQW
zCbZ2i3hz77VDOdT351LGc0CEZFcPOuYaKpKBDF0ecdFGwV1J9Hm9j3T+uskl6/RYxZ0RfO+vJCa
bDnTdOjRTb2JajN+gDDqWT0Jcczd8THlmKyr+B3tVeqptRXRiWSU7AwkoWrFtWQaYlPbJF9atNj9
FkkTmGqy4HCrA3lg3LdYpq8qZXw+RoKo0DploAqCvZ+k6spEO+CYa+9upgPuMNGrVWSQiXQGWHIz
mggp5qHWbzuH5ZlMz3UQY2/QSiaMhguP0LcWKohVPxrhsM5WJXSGbkmD2euYy31SE/1Sd/HA0dc2
kaIw2kOT+vPmTsiKkBlBpkeVQcFGy4X6TCyL7Yk5I1Tv62P/z/q3OgX+9/p3/fyKGZnVr/p1DVx/
89saCOtHXudRsoWzBgEwpf23NZAfMWtnmvefn/Bb39ZAQA2aSUsPkBjSYUB3PzIcZGVdTcEKaQ5s
5L8lGUYf9WENRDJMW5Krw2TCgvpRU66lY9nhSBbnU26vvfKE+2VkAFuna2Tv1G/gEHQaHnZ9fBRp
cai7ifmBbFtMw5PEC2cC4cLSVoA5mAEC1MItZhr1ppxIB7lfno1QXRjy9G/CbDoc5rR36zy81gbJ
PCPkCkjCqDWbehqbo6loQRrFdz28FyGX2Hod+6To1RO9Vd6zab4TcXFi6dl5k7c+E52dk4BUddIC
OUtBdk+aExG/zKTNET/csQwxHtMN8y219FthSk/ZKL2JcTXmgnD2JkHab1kVX1A0wayQpWMvs7hB
xQFSnqH6HR3O3jFWUlqBCvNyYilGQBf+MFd3cVFdqmaEU57JnTXrg9cMSDWidjtEZ1Gyxxl/1XTm
mZaHbwuDtLm8MJVa+PBwGL+bmwURTQGaM1TD17g0bkYD+qWcvs/RGlmbq5c2AAnQvHSAx6hD39nj
0x6weA55nENzJm6jcZB6teZ8XUBe90E+6DsEq6mn5XEbyOVguUsFt7VI2LK6kLAOqTc7X++jXRaj
BSkkKthBQj+m5Ko/gQ9001lnYUqAShsVIIG2YRWzSML2MlupTxBNX1VAe5HLVPIWreTekJXEb7U+
2TBiMXZD6MzZXRlJVnSmdktxT9QB21XOas3HNy7epJnCHadEBIRsvXcOIUjxeB73UAK1ouutsz7s
O+epxZX7hSQBS2KIidKV9ihahM5Uzi2Z+VkHmdWL1Lnc1LqozopFTW6RBd+1kEB2iAGeMmBtnkEm
2rnQUxW5zsAWO9s3Tin2WoH3mNTIbY40bdcqyq00hIo/yEJjJLKU21GAXyr0onGtTi3Pu5J0bZnP
UuvGsymeK4KfEoZhUAWJ38ini3KGK2gPor6BlfvS4bA7WJk6klgdv9VKzDFen+UgcZSjBHIKIT2m
nUIyGLQ4/bBridfcqa2ZXzdmkwOEsMqbTJ17UqKSGAl0fVPZvd/3JtOAYWEclRi7yYSpNYRSysxn
QCFbzecCWIYnaWj4CuI2AiNRxaE3FbTJCRmk/Sw/T2HtNbG4I5UdSmEpz27FuNmPdGd21UmX9pLk
iKcsFcItlyb0E7svt0SQZK8ZO+AuHxhlo3Q5yUQ87UY00AFarlWFgogZw7zTXgpNCU9R2oEJHOdj
B/UMArYEh7lKeDKLkeODbE9+j0DsTLIXtHdKRgMPsUTwz370J1KIGvl/70cX+fPrW/vrXrS2wL/v
RV/RQCx5pmnIv+xFWIvQ1Jt0f78aUb7vRc4fjA9AzsnoTtGlrqTCrhr6+N//0timFAwsKF/x89Ij
/VsYfnavX/ciZow2ug1YZqt/8+eyZZwFAnXdEogzx8zTe3Jvx/nKqkZAxk50XihN+krJV0Kr1m5g
dBNUr0mYAizxLsXyRsU25S4a8/oIbK9c5jZ4HgjTTIpe2gg3w5QjhyNA70p38mgrA5Bm1BmegeSH
WlpbL4OWXJvjch9jHPDUHOK3WuveRPDlLrPqE2011RTWGsbhlJslV695LV/0CgdekirI+5gZhNlD
6oWLedZnzi1JBCjKs+hL2tlnehteyvp0HkfdrrJIRALCcanGsrwhHIG4G328mFSrClaXu2upADnh
AayZ5IhXG09rBg4YOmGLjNt2CnikjdOz9mQJD+MAgyzQsnBrEsCDhqGgiK/1G+SD7jg7/qBpAfof
2HMAxmCwz/tFgaDZl7GNrHe5M5wvRRWiR51Wc8QJO90DGa2JV6eAePSVgzzMYe6aIxuqMc1vo1zt
R8XaWJoE0keO7yKFQwcAWC+3czjsxDZhH8AMYYEpso6rnSOq2rtKMl6GYT7AEttKGbpXcDlNp+wJ
7bxUZ+DvkWFe2XxCYQLiXqogOuf5sdWdKzORX7JpIX9Xdohkl5FwOpa4LVT9MbWdI7U+VNWx1Df1
oOCSnqyDkto3hBGUnrnId8mY5q4ooapr4W09tceaBPSoJaSzy3PyG+KnaZRuam04neLpqmd/lk3p
gc3xlWwgwzWQJXhtHbGjglRjnNm8W/N8LQ9QphvdOeNrOhUIcDij+aH+rtTojNSVZT8sm9qqOh+J
53UVA25JbawfkbVdUrQ9bVk9aaX5yN43e4Cqn/VBcH8pDW6QiDV+7KtTZcy/hNyRTqsVvk7YqZKb
J4M57yqz/zJK7NdqrK2z5G3EUYQ0r+aC0W4Pawa8P1aJ2GV0kfpSTFd81uw1yyq7S3s+pKUES2jE
gJ70Qr3qzTpw6gLIS9E6ATSO+iQEanFUh+pu6h7JNNV45h4ZLSOWApgYR9QGUPUJ6Jnjy1m0zj4k
OhRcYTdtYe6BvxuE7g2NQo9wiImal+p3PEi9c4r9rAc8GIfpHPRF1iy3o1Gt+NpxshEGRWGmX5eh
VoOxiLS7RE+rQFeGa+zXiHJmHXSQTn6uGP3cTjlSls6WzKrOlxTb9mFO5CcJu3NQgDUJaqE9VqOR
wmngcctjbmliCmDcYmBJAHd6UlL4ke1M13Y9mW4Vx+dTvHxZz4KQt2yfHNONLAak3WRJLwR6ByUJ
2z4goE1uWcdJ19HwJLBD7PvEKDexbYToleON2TNEt0F/yURYTNVFngybepSg1Evdoao7GgFjf6LH
JTmj2QT+1bzm01WI+SVIOm0vpma4dTIE/OiNvCgUL52p31WV9lDIFlhHeDFpTnBE06Bex2V6Z8QT
/a4FR4ytKUcRjo5bCsgqWZyfymLZ8n9VwqLWUO7ewHpj1oiT8fRq2fu8NLd1at3VTXJGo+Gl5TDg
yYV1bvbOiTlUMmV+rLlagwIf3ojkyaHyIk/pFZrCU768hvobQGCfWbfFiBp+ybUeoK4dBw0iZnOR
dMpnh75l1vhVz8M08+hZyxqYre67CIJyEuMEGlgFVOVEVqxDOPSnEOSgqoBzISrUJIF9JEpDSwpo
mhbASR0JdxBm/ZsUE1hQOQ36nsFJ3LqWj2XoMHbOh3mnlsrJEoXP0lycxtlyK80aMQLT/EpcS3o9
w/b0WiF2dafjkwPNhpCteRUVejtpdeVVRXmb2OYhruvXhIxPSk65uME2tpNK9RbEVuGFNd9GboXE
f2Syb4cc902xt4o6JNd7gI3M7lD3r46KxLArcu61rhhoI+SYIVpQNsoMYD6PyoD2WAe/aC1+1a+F
8D8V0deKaG1W/64iGorn7teKaP2tHysiQIma/pXDSwboT6dznEYYKSET0MNci5H/nM4hLK4mJE7h
nOj/09f8VhE5f+A2Ulc7EPwr+AnG3+lQYhz/WBFhKELYzlXQ87QhOf9cEZGyXJZwp5Rzg9StbAdw
lMR0u8nO0jD39KW7tOPlnu4Xz3Ofb0Xk3JM0zuEuJgEMjyLa9tpNWGJaunOBVrWX5lhByJYPQ0iu
QjHttanzl2FnpNJjFUUs+qxi0bmSOtEZtk/bQ0XocNZeSIbuOL2ZGDZyHRAEsZIYJ0L70dLDnJJF
IitY9I9LVeyEqiFaNMaLRPSMrkF+83P5sIykf9HvOKPtAR7Syu9KaZhBJspvSd29I7H8YpOjC50+
wwyiTteFPbGETfqjmKX7doHCPS2Nj/bRBq7mHEtzng+Snl3RxV2BcgxHJrwedMX4h2H3Tp9N5x9C
qh8VBPBA2VM1Afga6qpfxC3nmUp7lbMHY76IOyKwO+jHhmjZpEHGhFbf+iyhs+4ZGcgt2reE/fq1
hgGm7bTeeVYSQnqCZIKIDGI9ZihcZjsQEE2Ay2Bwe32qA5q7wqX5PAV4oIjRnudsr6ljC+k9aVFb
R6K/jOcG/v6St5djpaWEVUIoYV3ho4IW7HYtTdK4IfqlKDMMFo35UC0tLeQBwq3e6rZbVUQv9esW
i6GpCEInNLamJeZL7k3dTYdU9lOO8HFlVidOvqCoIxzwLDRkJJnO0J3E8KW2U0tLuCRdpvMblah6
KdbCrZIN76pT2aS5N/Q3sjDaoQZ9Gcl+doGVEtBO/pyrNHQzk04CwCybb45UIVomJgS1MLdq6+j7
XB6InjHS/MLWMFQrXUnAjzQngaOU+lbPNThdY2dsSSV9KybF2RLuSPJKK+UX1lJFJ3xybB+hKJ/t
Vf2ozom8C2UAHh3hNnRQ6dEzycxwZVnoGIpWKl/qGcJQReqU261i1t6W2oOgk4G+cmi3TgzkCEKe
tq174kT58nRk2sY7mmuMW3MMLU7XtvR5JVoy5F9vESZSR5FT9iIXFCqU3phoi8SC89ea8Jz1MaBY
UiSusjRh6w/5C89cdNJixt2JJSv7IAYkhxhJsyecsfhS33MyH1CRKuplRcHnA0fpDn24yO0BeScW
rekml5SIAKycmGTNyTZV3tzNkhN58kIbocIyh7WZkIexe5Si5j6vVs2y7dBJLxaIqAXCmFS2kHDP
6Z1SVhcpBpan2YHBqcZRfDoPtu3qdU/W9XCJGQwdqpknHlTWZu8M5lucj08MJzYismNvcqR3kfZr
pGbyCM76JNfzh8kU1pb0P6wkRbsuIs4ZHwWWEue94jmV1i53X9g3sm1cNEp8UuNncMu2Olqy/qqa
zv2YSxPttumiX1p7D/txhwzimvbObRObYSD31DPN0ALfnhMSvpN5q6kLXY+SYscGfybonbd2fBXJ
reFaEfkQA7L6gyEvz1NKzKco1V1SxSeZFZ7bGlLZiYbZzKmUJwW4MxRpSpokB+FXOslLapflk5n1
mPm0kb6XPtD0pCA7McEluToCbHqJuMI6ZNWFPJSBqTUXlZCuza5bAxiz5CQqmYpPNFaCbBY2l0TF
N9N1o7vJmhRWIrosFIdagMflclgfnkUOOXatL9rXRhykZMJt5a5OrvKorX1b7SiPsAtsu9TkQGTQ
ea11ZQ6WlIMbWMecFcaat9Mwp0HYJZqfWIUeOEtKomZrvDPoWfxMX/YkTZ7LZXMotPQUakwRoLlW
iTEjVlOTa0am8GY3sWXI2zykG6bDxN6p5mSsseTUZ/lCJHmiblVtYqlPudq44KlVBbbNvATmywgM
/0PNKiU3obIViAEvDZxAawJERKiPYm6lFAxFWnCobaIeqVgBNYBlanD/KXX+LHWQNv3vUgcf9f9z
38rkL4cR/OYP5Y7hmBQt4Ev4sz8BpRX4JXRymAXAQkWr873c0cw/CGFU8Td/K2m+93/MPxSaPuwk
Jvw90q7Nv1ftrKKO/872VxmpaqAUso11GksR9UH00Q2zYQAukKChF6mX02RIQhqSuUl2jtJXxMDM
2Jd1zUvj4pIRhEPyMdZL0WT3Yu4rP097IgpIpWJyl3qyaVauKubQbxpb+EnXvYhiuiNu66mWm7N5
0PYM/OzTusjbAHsPcU7aLcCNbaGQMB31+dX0VXPfaK9M97zRws63moQcImBcTIKc4NP2Xp6s90k3
p00q6utCTW8tZT0sZpyMBslagsJpHvShHvxEqQnxIug2jWqyfiuJwC9SaRWp3YpMoq0e0gTqBiLf
FvDNPkgEhhmCwswPJ/2pzkdpvmQnt8cN1FNRaGxwPe1otOU1Gacrt90B4M4s1dnUK9N9XOnuKr1r
4K5aMK7k92xFwK8seKckT3qlww9y+qW3rDc2VIdESttwtf6Yj7dqh4cjXPnyFAmciEDOWyt7XgFC
n640esTdajBP0D66ajyYYdedNHL50qgxBr0yj7GV0DVhHmMWunrZZBE+G1YYnwnkjYynNrOo/bqJ
cxOzmodSr+7YUCvG0VN1yuhn9iTLCUrLOdciTIJ5deyUblu08SZ3rJPJCB+o2znTZ9oMgTHdDKUu
7xXO6W7M+w60foJla1Y556tF87ieezvqk5ORxlJASC8MbCWU8EpoxXloyze0rYj3qi0QoqZ10Iuk
z9xeNMkdCQhqHmCwMM1AEfbZos6XckdQkmzi98BjSyO8lq8jOnlh0+LyBOvcRA6WZ5VEIPPSSK19
mC/bbCQOR146f+yjm94uzidn3KqTCp5YHj294JsXpASkxrDXi/Qew++NVRGbxlyDXG16a223m4bo
BgvWaSuS67YYHpKePuAEHzjN49ozwV0QSaRtp5GAOw7S6uqrPDUx+Bz4ylOiftK3lK1zbLk2aY6M
QNOEsSOfj/KTnXwxnkhmCsI1Naof8jPOzlc4ner9TBDAqSbhMh/ESyl1QdHdtANeEadxLqM49Wu2
qbJeTlpTuZOdVMBeTbdd0u6Ip6ZUoeRPuuypGLDESRa7YT8zT2lqWq4R5BaJIKpmFs9OqFSBXAh/
MZejkBkM0VZRmWRUneRXykSNZLxotWxiTEqvlyg+F4p+37QY0A3lLm9kJZDVedOUa8xkJh1D2dmm
RUnQEMUNjL6XMSQzE8LIqRPNwgUhdMhz/pniHEQ/9K5oi70dDafjiqLViyWYJk07sSoDNqstcnWj
oI2hnSiVxVUsI23BXxg9psRPlEZKB9iQ32nv7LJkfOwcsRHOGEDX2aaa/dQDMS8GgtTx0/iaMhAa
qO3aqH6YrbWiXeePQjdPbXW4spUGI8Yk8Di32kMytHsBYDaXxhCGvH6pwYwGAXWpUrJ48zKeGaOg
PjPKbVhSRMEh3OFb2yZ2dp+q2Wkkd7cWNGg3T+WrPtZ9tc7PYiqBTB7us0K/bhO+i6IeX/WCR01u
z0iSZxJcDPtopq2NxXyXq82hcdQrbpKTaqDHF7f9eRfi/bII6h6G8aFQGxD6er4ZO/miysWBWKOD
RGXhNkLa67O+k8HH9eSaFovYCRjRzpKdYsrd9vly2Y8ZioyiASHRHqaaW9Zm+lZ0+S3Bn08ZqHu9
MfZ9q791en3COWavaPHd2CXXht3doBnPKV3DzWjEe2u0XzIIDkoxkCdfVPtQJUW7L0/KReUJUwSg
4+yQgIKYcu2aGQA5LASBKlUje6kp07hMNmVdnxtEWSWW/f5PbfJnbUKt8Flt0pbP7Ze/DLxYVVnf
6hNF/0PR1ipjBdJ+rSe+iyUU6w+bTgyiCCAwf/JfvoklDH5CEYLzhLArE/TefwdU2h8oL5DCUKFQ
9KzB038j9ALAyIcCBQXCGhGI0wW5hKrJHwZUzmRItcPtd5QyW/WNseiBQ8za3hyBSo6txs3UNz3k
WXOWLMuLsgU9RCiaLr2d0yylNIdJfyxbVffLhngumRpYHi8nYWOEHBDMtbEfTc0ClX3KR2BSGI9s
m+ROjYAiWBaW0ix7Ggpt1G37Wsrja7snvLU14CS5pWTJhDtHS3pTVOzhjPpT1cszmTgDBboreUBp
vKnrHMUVyrId2TM0xY3BuisVwODYgvvxri7wZaJ6qpfZ00uG5J7UNaWXabV9oWVjzbSiSR8lozZ2
uJd7nMNjHjKYVyLbpSGfnAEMg0hfhEsReXZihp5TqfsykguP08dwJktWcbTMcrwqkMgFLQQC3Uus
ctwNUmggb2jsJ5Wj2eI5vVMt7FaDienQTrCgpoiWr+jzk+K+9EWyI5p0eS1UiSz4SJ+70ptlNkF1
MzhGylha14as2tuj1m+Nli+k85NJGh/7pFUUWg50b/SUVIkyoOHDwC5gjVjG2p2FtizOzok4nUPT
b6OthY7lsmvH9Im5X3fpWJ1F4rSpoG1ACXdTrGZWravFBQOuwboopWiUg6iTSTaNwmpo9rGqDJxB
EzV9zJD03UzOkA+URgM0NVHKSb6TtbK3XMmuw3TfUL1NJ4VFDsabKezozQE7sB16LdzkSVw1buJg
++skkpQLqbUYRyTdQ6wpdXveMMZni+r/OVX9KVZlPfjNyvU4vDz/2j5ef+fberWKuzgqQeRd+Q/a
qn39QdzFYsQZC5Epwn7rB3GXQ8abg+zLQhj2Yb2y/3CQvAJ3/c9h62+Juwj2+bBe8RoQFzjXWayO
ACq49B9F/nnf9vJUTfJ5n1YPoVPSGsw06aDCp2Fcq9SXBlSDHcWzc1wzwTZVhbW47/STtiKmSpQT
NxspdqdtuwyubmdrmWqikSFFwJ7qs3aRvHqUmYLZr8pILa8WAgnOEFLDib3DQCSxatmvE1h4HQPk
0kF3hVDpVjBG0UHb3TRRhJiHEQs3+qEa6ttWQaCi4z2Gote85utcplonNLQUd9M6s4mWKi4vCQcm
AEHXLyTNPISmcIJeyCHRxRK2Q2UFLOTNxRz2z9YQvYYFKcsIhngo57rZ26XD7KySrnrK/gsHdpZb
mDEPs0YfKaQk80NCE8HpUeaXId3hSW+D1tG+dIl5GRvN0e5pkdZx9pCo2k1fObUvpepbjZYlCJfo
th0BMjfdfjBpIBaLsgNt/EWWs3LNwIEMM12WcrrSOx6LMjqki3OjpLXlGgtcwFaVb9AXM/LnS+hj
GIZ0ZErMm8bzPHSIn6zuwab569IkUtzGMH2hyxd2risgppLLxBkVVyqAWpzMM6inuSQUp61PZLM8
2ktyGOcq2mtpdzWY5K9Mhox4vy06zzJJJDBzLN517ltLhrpMkgaMnI6KYsJhtyB9uuJ0APfRPnfU
et7mxJK6o5nuCYxzsI60b2oDIZIGY3QpMQ/jLGIw+hqzYzOr73llzIRxmzA541R1jmjUaAKViOfC
DFgFxuFsU+ZMnYkRP49JYvPk3D4XUkXWuunIEEMqqF3/n73z2I7jSLPwq8wLJE+aSLec8gaFKniA
mzwgCKb3LjKffr4AxRYpqTVHe/Wumw0UUKgMc/977ycsDnHloW/M64rmn2VvYaoFWARmHY76wrAJ
20vK7Aej/+xU0WOaUlncAEbhWgoa3oQ+gDUYglOhIErt/OhCPjKC8kseBtse//hBFNqN4VXfREQl
TSS3fS29ZZE6zVLvGvZ5BuGVkx8ksBoRWufJSM9sM3LpZzRz6mXypI/Bg51zD8D+QSWX5jJ6CekV
Mkwo2iadJF4PR77OuY/p+m0+dQd9jLd1mtzGMXbCPnsZ9eYLhqpyaaQG4fsWtFST9jj9RpwdenGy
Pd5cW2gHBEQSEDpGkB7j3aoI3Su9Nt48WsFWbTc9VZDGF4NBgBNcy6LsEGVVhU6KyrwcCv16zMYv
Ee81SmZFD6MT14vSrJ6tojr5GEscr9wkkdXSHhO8dfq4cZuagrRsrJfSpa00pU5dTlB5Jh+bSjHZ
X1Uj5libGNy85KoOGnMZV3m6pKaNhpP2s5egQDJVNdL50aAfip8PV7nAVj36p0YW2YofeBXOw4jv
LyUIL2HAz/pt61ufp86vzqGIgD5KTR60dNL2ZT4iNQzx1ZDWd+TS36MqvfWcAlI7Bj7UbSto94HL
d5mbyN7lrlhTC9evEkvL9nlu3iS6WSwYujnUorQzhhM4IMQVcaUjB1AB655p4Mz48cpsBdOKvpNQ
3qDp0x9p628eHprvMcB/rdSqiPjvbwir+D38Kyc1X/hjszWcT7pnMC743pRssKP+2Gy5HDBy9Yif
2wxKP/bhH5cD6xO6opI1f9c1f8xqzU8ooZZF/kNA5P6H6uVfpUmERfuj6pPk6MsU49fNNuZ03UZZ
Z50Mz2F0QXtWR9lI79jpIY85JJpLY5hd5n5Cr0y5ooBivuuxXdHnhL7SJ+5rGgF37sj/6fXnxM0M
4zIaLTXMycC+tWiHwj/nPMeH0OqzeF93k3kPo0+z90arN9rC97XunAdWcEgnR6d3Ad6qcRe7fibo
c5iz9s0vQmc8NVbV2DfIntvBKbL3YKiZuhZxjxwocK9t9YTiWr/24uG2q6duL2j2wls046JYByoO
MwuXLcitI/1oqrhMU9eJz3JOfXIkfYpq6qZb07IVH+1uEldBMFdoCeCfXvu2YKcVdYArxRUoP+QR
+ktksr1NxWc3Dd8SB5XGFX6+rBz7veryd8cvYWoNeS2+AvlZejr7YR2O+2LW7U2Xaj198aGzGEwd
P/qY9gaVxyOzJ3SfJ0OLKyonx+BNxs6wa63C3EdaQMlLamLqMxrcaXUv93NV1VthE8FpBo7PeUr9
iO0x9mP6gtcMkyB/3GrlkKFoxzZYeV1+9HpWeDto3BOy9bxPBWPLmPqfhfCjrRuzWDahyXBy8hJy
MwRG3CJdVZ7/7olI23rDvMsMRBciQdspwLOlkWDG/tQwIBLyWQB9WqXjTOuTY29Lw2cx7KjHi5rx
OrVkB7SM8Z+f2XLV0IW1TrTKPNNYnd4RS7JuAYMX74kumkNex8VTMsDfws4EOmtIjh8P67+rlvW3
hls1czm9du9/tWr97Lk11aoFXAfojad/BN1+rFomC5DJiNeG6cx1QGdQ82PVcj8hW5iKrelAOGJV
+13ScD9RME+qxzaY39A2/48kDbUm/TJxgTRtMtyhK4010vyjoEHhU1/nzjSe9fLSAE+jGmz101KO
mvenTrZfXsGzUYgcPqG6zW+oDMTK8/tTzpghcWr1Li2drUgOsfuo6WffvmnFzggu44Cs/93+/V9L
v8w/pPr+/Iq8dz+/ookkHiNc9OcEm+cCPGbnL8C7m7gTw7Kllq/0DkNHzbWT4tdrnY2T4NqoA/rc
MCR2LhmUwvksTd/cOxYS58RYe2W0JS44L7qyS4wrnpkuq0bHgZl+86X2rJgMpWEK4hJYMpOQUsaC
8jM6ayMGBNTe4uiMw50g/N6C3dvYlKiQYIvLbTBJusHw5i3chokza1pDKCTmIfaWVR/fesNw9G2r
XLjxcKXVAX+lBERTgJWzHruVmKhzo2swoLt+Af1xV5bGZcCwh5K2L3RGN2kSHktMs72lPTRYChZD
8XmYrYt0o93gzu3a6Npt3OHEqLxDFNtyETnluNGqpgUXMJ0olZrv3A7NCZkJkeWuZDq/c+oKOaao
d7UTad3NXAn+hz5vZHnOQnHVMX8A0zwjEtElu8p7q0aY9a4cdh9N5FdMWvYyZSfyA9r10utpdp6I
emCmQMBY4NfaNKANYZZ/zTCUrEdbnGQlDrhqV0NaXXXBuMZIvJ+s+KLjjS6CGm2HDuBJXoE2K1fd
nOvL0B6P7aA/1ZAKhGCalhfzg50xkQ7yCbZqX1yKtKOlnQV1Tg860POFrBxCCR22HQ7+FLdzqcUS
kq3bxH1gv2XWounhxsyrft/3Y8e83MSDFdfTVTaVdO155jHLv/raeBaRd9v23C0NzgSLKKJ7psoP
QRZf+kK7Gwfsosjki1KN1GMfAbz76kbsNYaT3JjhuPb7vMeoaqxoO1yJZLrp+hLVpyJaMort2Awb
nQ2ic/C4G/qqLMu7uRCXPKjr5SgZyHRZOtzKKbp1AmOPPX3lVd6zSAsO73ZzTxcYU9S4+VYwdMwD
HzMAw6uZO7qg5x738Ls+hseid1a14JjLCrY3c8XTtuK1o41cmsIL6OqTsBN61vOt1O11RvtYL4Nj
28KAtZEK5o5Uq3YNq2JlMghgobiZGMMxZwSKaolgQ4TpUTQtVnsNYm/KhBJw4LRLRwgHTUbAJw5J
YE7aIW3newQ2wmJZdx035V0yYGtKuOz2JJuWvWe++n3ymrjeqawzqoETWBAMTiaMPSNhoGDwdv9u
eh9ivtKQ/vtR/X+zKi7e/yyKqa/6zzkdDyS4E0exxD6ck7+f000CKLgj+Y+ACGgqpf7HjofypdLY
Orq/95te9uOc7n0i8aA0fIRO/6Pf/Z+I+B+Jxl/2PLwMrs8P6BFdIbfCPeLn/SFs3DFhKpedNaN+
CWP08xnHljHZ+8zIEWk4lVLEu8aDsNBhL85WeOVP9fXokXEIxpwpljrb9XihG7c3N6Gtb3T6FkdG
Z2vPLfvlEE5XehesHBgVi9joHmPPrJaZkTGphHQ6aM0uS9vXXLFXEP2/st63y0pDMA9teZTe8JVD
bL3knj+tdKIbzjRQhjwV85rIQbaCfayGoX23dMk2L8mXOcuuLKZNUU4Xk7MoJYfZsZc2W0PYPXNW
lKsWEGWpOweUR7wHEgplOLS45ZiA2RHaHpP2y+wbTwMC1iLxlMst4jHPXBT+xEnwuIeYC3J0EgoA
93CUN5NbBggZtCKbo3yco/DUucWxCqpjxO9ESgCLVW6at2Ocrkid5+u0ME+BYd4HPMMbHNr5AmcJ
61RLrrJKNe7rwtrl1kSm1KuePLvRlg78ZCgtNheU8A6UbfVZr8fHaRbjsfPac2WxdWUG3asJ0CgZ
Dvu4SLd5NToL0dvlQowTlVlWYGLZ8yBomI9W3VqLPh7PVMM6a9SheWXac7iefYqlw8anS6Psby0t
+mpnQYkvA6xnn6ZHyjk7+Vr500ZUzms7WeWWkvEtfkkIntWYl48UCBR3uPWq9D0O56+jjG5nizuY
21c4KYCPet5rYyTXAZ/vvd4V+k52Znk2m8A/C4igh4kIn/DpjhxdZ9c1EyXkkU5fGgm9ayuZsSbE
CB6gt9wn/FUrN86jkyXL93oezJ1ehqr6l3DC/K/0/136F8zu/vs69x1Mscz+GkvBl/5Y7JgAmJzv
mS+qThKVgPuPKMHxHs8UAW3LRhD4ZbGjF8MDgsjJ/rvxHKPTj8XO+YSMYZm+g+X8+0jhHyx2f4GN
8JQPSseKzqJLbPwPh2HXCI0sa2w+aR4dDiRbUCFGQJ8Sw/TClKFBkWy6ybDRFHnBvNEvopcci03O
KNxjQl9ivXEZYSW2dp41XJk0jC+zxC2v4AiXZ44QjxMGHs9H5/dalVnWuvWAycdpAjhQHY3BH96f
MnFvZGixujRzUulQHhy9XHn2qK8NqV+DEhpwBYhhG6G0LVObw1ehdxGcKWrmk6aiHnlaGR6PalDi
0tFtxhbOmK+0QFzLqWKpm/CGkqOgn1UteMOgPwxGt3JJGY0mLaadL2iA1VmV7MZ+c/g9kQn5vrWv
BNSB+LMuR+zhRfLmkztfTwGKcp8jGWdTtOdsFeyzihMQVMR1WWj6ljU/O9q2Nl4FMZoGGRXaMZvk
gc2B1pCso2QQAATJ7aWtDKzjjAXC6e+buMYxm9YPjhueqxorEjacKyGJGll10GNCK/pVoVGUi7IP
GFrlwNO6P1VVAjNrKrMNvfpkmO2DXZiPeTLc+thG2ZjI1szUNbsWDKMpjb8OhnUKi/l6NqGR9y7a
OdD556zD9tSXCtlTXfWRB86J3CeT6n6pzagKZRogkpeJtai6xFplprNPOucmDSaKZ0ew6ybLZY28
ukGcf6tN8oim3l6bFnb0WtuWeg4qKT5z/TpaqPNLyoOO9cBnJujbSx073cJLeWv0YerXQhE4inDZ
Jv22rq2Ta0fphqmvtqyHpESdoQi40rZNol1SWbanGUWNvx5Mod5zbk3HPPlUea+bidI0kQvagVM2
NqucqdwQXbtOUt0lQBSs27Bl5iqjzZAUp1AEn6ca/nmmeduwtZyV3emPokZys0CbG1mymurOoQ46
vAlH48qQtEaH8rpu/a+I8Jj4hpb3sHX2Yc0MZnbsq65vzzENzdpNWbrZ/D7JDFp7rmAn1SO++Zoc
AoQliEqngoryQ9L5L2WKI8duvnrVhF5Gm8gcbrh3YqYaD36nbRrdPJZZdB2X5UEm7TUI78tQAHag
t5r4etCPeyewv82O1nPjHBkFxD0tv5iZh/nOdOZTWHODM+jf35Aal4vRcnhdsa0y/Ibq3gdzA3O6
dWnsl1bdC/Pefyi4kUAIODZmwyWzs/cjV8mwmi/9bO6CIQagafc3LHYEXruVCUtpocU0nARcTK22
u8LVUeKW6hjlxbeu4ap6iLuZxCV+ZG63kbrnmg1wJZG7xdYPDS566j5scTGmKSXc1equbKpbc6nu
z1rPJ6eoDMwN6nadc832uG67ovhWcv3O1T2cpprHGQXVNmDBSXVXt9WtXW8Cd+Em1RcPY8EVELxT
LInkTbp+yUvck71bG2cc0O8W0La1Po/vfUtymEPZLbEPKDDF8BmoyaYW+vMUuyeCrRsKxIEZoAws
PdEKfNfhU8EsH5mOu4o3bYegXOlVc/Hj7KjjSpzVdc2ug+vEpTcidtIdxzT/gGL74DEk5ZVhUPji
3tBtEzAFSdG5NioMiolc15p5kjwGF7f0b7l472QmiC9mdCK7mbkwq4QqrpJIm+124G44H3RpK5Z+
XL9GNeHJbiLF6GTZGr/Et9B/iyv3tu2s25T3hH3AYL5RZNwSvQsNGxs9IssaDCnI8ICJ3zCPSKlD
so1qkDRxkqGgdKDG+HaeR5LPVmx3O7xmlpdiY4iHo9CMYs0fdNrZNLurYY6RV5hZGCiveq/Y+RJO
BnfzcM88ehlouBasY4SYj+XD/YylMt6zHIM2Zx4UQrLXovrOjAk0z1OzDCOnX0uKLBZ+2L7BrIhx
pVhbdE8MInXN9BHvo2lWQOjlldDbhDKEetuDeLPT6nosYRlXxngOO3mrT+UaJsS0weVzLGt/BxZt
hP4y9ZuxN99Tv5eL1nVv8sglNqrMo//eGz/ujYJr1P97nkIs//PdUX3lT8cpG18N1V8OJyDvF4O6
SQ8BfmwMWD8uiD/uju4n5CxP0R8443BLRGP86TiF9kh8Rg1kPsoL/sFxipvqL2om38nTqR8jQsaZ
Dm76HwGbfqDRM+951bmQcbkBoNeQmqc/JZPFU9xYhMMTJJ+W8l/2eNKhs93ta9v4NrAxLso8Hw8j
EyLyeXBCOr3fhWW4phIB8lGDvlgWVNWrWEfiJl/GoMHXzdUHxQ5DZEa+fe3mtkcR7ORfojp/sBvM
v/VoTXzM5ytqUB/CsCO9Gz8FiXXPNlycXWVzLpXhuVfWZ10a8SHHDR0Iolip79+wG0MR5pOPD73f
hBR23TPP36FmH5NKThtdFmutlbccVCAB8iBlWn098GSFot7a6lEbeOZyt7mL1EPYTOWpVY9l2Fnb
VPcj+gvat0k9usQLh7WrHmeL5zqMmdlyn8JcwQCYCX7bNPF+YC0wjMhFwhqpI1W5qJlOv4+1QxK0
U6uJpKN/lTWqlme+DT5WHLX2uGoVymI8GzkLE6S/g69WqoQla2bpStQaFqvVjCVpO6r1rVYrnabW
PEOtfj01Xj3LoaXWRYsFMlMrJU7dW9wZt2X71WQhdfl2vVpZY7XGRkb7GuGeoV+H9VewECdqRbbU
2mw5mPHVaj2pddthAfdYyJm+lJc6N061WuMZ11cQn1RDgNoBZtO8F2pPSAd/5bFJVGq34CxE+wT7
h8NGoqsdBezlJmCLacvuMrLldBlXUbagUu1Fhh0/+Wp3KtQ+Fagdy2frmtnCpnp6NtnSOCJ85m5c
7XNruOUwg+jI9scrSxJq2fugdkaKkaxFbUyw19g1A7ZPX+2jg9V8MdTOimvG3MdKKI+03F3XSBHw
W4uW3o0ZcBDCepMM1XU4aO6hUrK7/FDg3Q813qpqDdOux+EHp8qAUOEF7qap5E6Z3CbboigpaF58
gbcZCBi6ecVLkOSrepCMI3W1vc1b7OHa0PJofrCq0lgIcxqXVuXeebVz7IzpPYvqdGWk9m0WROHR
mYf1nA/XZjSuDD+h/dYRs2J/fE3myt93pftVutROWB4ufXvwWzzn7Q1YK97i5hSgXq/cZqwOpcuh
FrYE/FSxDstZ8An3iHHIia+QIFsJP02AHYJvWRVcwDP15NU7/TxEPYzLnvBpMGfH2sSNNOtOvQvR
IDSAYm5QHMbExKQYmC8JqbyFQ43AVSQ04HpjY7/repDel7qodtngTRosjYj81b+708fupLaEv92d
/ueqj9v/OX+J2+qvBnp8+Y8tChAl8SnbYHCmexSwMVL7z0DP+GQx5MOH56PLcYH/Xd60P+HAo4KC
f+BGbqt41Y8tSnDjV7NBwNG/mRf+wRb1p4Eee6aHE0JgQ2Hf+HAw/zRua0zL5krD1TKkDLE1j7H4
/8gZdNT8sgmqfdazaKbjAWWM4/FL/Sqg5kapc/GiDj1M3T3ze38jTfa9jZvLk7TIhdLKMbXbmcWO
YUFFFsnoPPvOpCuDKz/1Kie3cX1Ic2FQn/pG8+olEyKnPjmOpsu1IAcWco42SE+16ANlNeoQ1aI8
Xzea0LcSg/S2KUNzPYI92DaRqNdAKpOt5VQEggfnkrhFuK3gG6/6kkq2GBCuSTdbCf6tyMe5vCua
OfqW43feWAYFl8nSI0wMjm8SZsJMnf+2NipqJtaRyHXrjjoUQiVVLeubjvQkV3gaZ4H6Qb6Jnq3K
OEYygijA1rhIfSLeQ70lLXY19o6xcDvtuo+GRzu17mu/vWvYqsNieHRstGbPqbkvxeKqblhMRH0V
gXQ3wjDdGw20v1A6xxH2lKdjZxrCckv/mQ7NiuoV6HYkTl6qJEGOyVxlPqvPsACTHcrGVS8pRnbS
ifYKOnZEwErnZQahXpxMk++vJzJTC0jXJtu4BYpTSntLz8B8rKfqOATaVubpruNqt80zu1nF1ozv
slrXY3yCgGOtA0vUMHGq7Tw3+6CJb5WwvU0Ku1iFwHmaGW04pNmnaCXWyQigX9MdI4v0p4Za/TYN
abucGkg4OGQ3suKjysGEIR1qswaqmfKWvazq0wjlY2EkEW8rxguOhUOyCBP7zhYIu5YU/a4tgMrR
+UGkPxB4IqbuVDuDRvdfsx+oDES/0t+F03+lRNTbkuPKj5afk7aLUju+qQovXxlSxDYjL3IgrqEd
fDwz29bT31IN2cehFdBwHzoMG1kUOEyTG5pHuMlYtGTn3s1QFBufkrmkQWUwtGXuQP4mLLT1xs5c
1RZvvF24u1Yfngzl76wwO1LL85kcwKnUOQnGjTzYmX6Z+aaDQUzIi/DEGfQAaK9mCy5dk3tq/K6s
QNv57qMMPpfefHBzwNN2gvjs2g/1TBf3IL8MeHL6jsu3yFO4qNMlDBJjaZkp2ePUf8lC88VCwFw1
iBq+QHcZxbmOdlBroyUzACYBc71xI+0eqNyDABsjw1Su7Ci8iAHxn24DDOdDfOzKdI+bgcPtYDxW
WnTvefmDVgG1KjAJhtU305WH2tcOUurUKiTOAXfQNnOyfuG57QoiGyG3XnS3YkwO/H6KSvOZPkhk
KytD2ytJ+Zmcoa5zIdMdZDHzpRw997n1SqQfOU3BQ65AljJwYSvKzKAIIeAkF3fRqv6OviRhHHUT
RksTVNmoEJlDZcfXvZiJbmYfDM2+UjzNkFB6iQZId6OngJuzQm9GtvOotaazHqByBlEVrKnRYFIh
/JYPM9wzxKvsCPyQgY1p33Y6M3urBvYZDmA/DfifQ0ktowKCJlw+QXcCCU198ewADeUvv6p7mmFc
CVDUszLnFCjIqJwrhvVO+UWE1OU61CrxyBG/FPa9riClbTKl2xBuaaIAppMimXbllx6yaULrhZeY
sOZgngbYii0YqKDwiHkkuyHpvnFuOWf2nGxCoGYLa8xezKTfRPBUS84R/Qdg1WCkhYbIgbctyJaT
HGzhsU5MYxL4rEltfs2dTm4ryK1JMbwM9EPYCpg1x/3ntqN4C9ZrnWKzhv1qwIC1++LJVlBYYAl3
MpuuCmixXY3OpI3JUxhN+3jkEZXyNMCXDRVoVs+c2w7yLFWPLxISbUlFmQeZdkRGNMYS88g8bAbh
s1hgbeavQRtT+nlWeFsfzq1QwFup0LcdDNxQwXAjhcVNQLVS0cs7qJC5YeHe10N86CynW7ax/sJO
cKwVZleLi0uswLtlEj7ZCsVLHm5nw+ZluaHOQJ4sBe1FGLjyoPg20HwN2pT8auBEVy4rLz1zc92R
qlu0CgOcm+mr5mkre4x3fUZHUt0HrzrkYGHgVlAoYbhLBwFbuFWQ4US0hwTqcGM7nwMybMPELL4b
7gLhrkhMzxt6V0sIq9GFDrlvgUIZTwTZdIFUa0I59qEd11CPoXoQ+oeDPIRDvfMUGhluJd0n5lUP
M9kJyqOuIMqmwikXuW5AHBbjhTwCKCmFXU695rnQI7C2unfWFZp5LOpa8eEBqStwM7fjtxidjmJM
oM5jhQUhwW+znqgSYKwP/FnSkbkyP4jQ42SegBAF37N0/9Xl8+s9XB1BvnMeOYVQ2GA4nLR+nuFy
qjewEgfadZI8OOlj6n8R9j/tUP7DS6iT1k8nqYlPsZPSs3mt11Rou+e+Osvk8tMx8y/MUSp/8fso
+sev4eiYVw2LXP4ffg2TxkAo9HF41hlieu4ZRq2U94Bx//5l1JDnjy+DXmGqqbyp0nO//iphmUyW
mw5wJIi11jDyWpPnsH7oxWXEQ+G0Dbrud4LWv65AwR/pb64S0Wvb/UVqSH3VjxsEM0MiPvSvIpDr
vuvwqfjPDcL6pKu2J8G/CHx5HK1/E7mE8YnCKfQtpXThDVSXi99uEPRRkX22fkPc8+X/qHTKVn1Y
P31clFVPoLOhmPGJxMLho8/9/Mk31YtXWZ1ddCQQogY94EYxPnKkDbddrZ2riA0PxfaUZpj9m8nb
1ROlJxjiybdL7x3xn+XIv8dtlC0Lo/ZU60pF9AIRyLN2XtZvnC5Y07+yG5nO5DlYy5H1xLKMl9Ym
8QEzmONdtG4lYrabnKauf3eTaD361rrT4HNPRoWCIt4crgPhRPWb1Zb0BcZ5v0uqZtf4/rHldFSa
9mY2kzXVuBHpkOHKMcsHF9fhaEK+nRoRb6PZfM0aukN1/TnSB3vjBkHPUR+OcgPEdYnrPKL9pT3Y
ktuCh72hMzmJWck6jZK7YKCSmZg4cNWKWA8lDIvWqzajk+u7nB/uaLkm8Ghv5I5fGAXRHPfsW9lX
Opaq7WRSoRWHTC20KbhvshLFoJcrvRg1dInklApoADEWYiqKqmxJQam9dGU5UenjrWlQOkR2x3l7
zB6YI2n4fAuU9vImajgvF55/MOBvL1y7O/mFeV8zNDI7eYPVUFv36hjEyrPVZ++boaljuVncyIiR
sPD8lyQxbqe2QuIIYJFSqpMvJ8e6n/P4JS3q1ZghDZEwZ4OM4ytGzsek1r+17ezsklmSMY/7aU2l
FtnQwLqhSPYpSvj5wwlWwYxisnQqsesdDkZVYQnaBPr3Mkn3kCxXY9gsRIynZOoMRq0xr6PLFjiV
XyCORs/0dt/KRshl6VX41ax+G4aUPtVFNy06ALyrka4Z4Lqdz/ghFdu87M9l6XESCfi7t0w9DVkv
9Lx6Mfr4qkviqyb2470WGlwvHDQ2YVKj5LeTucw1q1skXbUNrPIa0/pVTQQV9bOlprSNr/WkfKmT
Ot7UGTeHPm5Wkq5GgmjE5gZESCMbdrWhX0wTa489Kq85Pvmw37dF9dBrw7ZsC9Lo5YbqEJ86IxxA
YTv4VAES83EyUN+ePjxzuHlvB3OpJXI7xtXE2asmRucoVja/1eReynrslqk/3Hlptun0Qw2MZTgF
WryZdH8fyuJs2MXFHACh2/NZI/e1GiaqJ5QK3fdMUssID8yMN8BBKuUDGgdLcmtYe3BjlgXfFEpm
taTHPucsih8w14dvUSrTlcwtuOvKlGel7ReZEEUrvW9uInso3TUduL3vb43C3kcGx6aZSgVmNDg2
F+Tv5JZzP8q3tIIlpV7jxtc8RoHcMkIZdYcySJNNPoivvc3Rso/Sr6U1PBOLfqMaJVkTyqFg1hov
U89MHP/8sJw6p4NnZQ7WkpOn2RyxQHVH1h5VGEe4LpZ1bVL51O3tAh/jxuL4bz8Meup524h6+W0v
popnqS5ocHJlM6+9PpTG2is0QRhuMC1vJ2BpVIvGop78mhKIqb/z9dzo7ka/0Sz8Vj1MPpuqkWe6
6szhnHbVrgzRkasEA2kpUrGJYztc1PRTGU1429L3suxSeRCi6DeN1sitpzlH25WUvyA70WblvNXU
u3H5dShESMRzqtF9Fw3cgg19dg5WyYc5Lbx0wf+d1JJdfq4C8UoDi7nqvCRfAKf/1vkRQ0b6WJgM
j9zidPrSmo6q8CmVp6lqVzL2IXNV2kkUzY0W9MfcKz8z6qXNwkKHx4jU4tBgCmxny9aSB47utk5R
LU6y1zgFjKE6ejqT+ir8LAjD3XinmxidWv9KS6aXLDK/zYbOdwntb+mQP5J3XmnzwZwkTZ421+mw
uU2VGwW/E9e5laSXI3JPeprpK1+Wr4Al9xHdEEuCXyS1aG9Y8GG8dlzVIGz7DDU07QapzlyNrj3j
A+5Psz5hmpbBkneh2rkF4/WW2/bWEgNrOw37oHjd9czoGe1Au+/S1WyHT2ZDysUTCZxDjfGMl/oj
L970AFf8nYU7bjnDSFhZY8zV2cPpnMtqXFMrd1V51POjTkA2N9xzPBYnhpoQBqrg7KNgtHmLzNu9
Ov44rUlE3k0oRYjRDHoCnw2E+pCHoKd7rx+LJww3h0RL+Rn7+RnufUS5viP4DFCZTs4J02HZvbe+
/8ACvdGr7CrNo25hhtYOSNkDV5utFrsSD6K+ZzR0Gbzq1rfLLzEbHQKHfi10BAKb54665GAbzEaz
tPVmH2oDW0I3hgt6mRLkkXTv25NSnYpl4pn1trXjcRmL9pzG/cX33E1hdo9DbuyqtEal700+gL2Q
61SHhqMbXo35IYBOFfKvLlOPlZMO20LTjK3DeH/f8YYuiUud9apNOPp2h5446KJ2GI+38iFTXOqp
ZBNkydpo8RxutdE4ZrATltOITN/wpB1Dw7w4RkdfYUs+ClNdvp9NatVgGlPthp1mmbgWdOb4EvXJ
o4ZLbqMVOItY5Fjg7HE341BcMPS7mMR+QEFTsuyU8q0owyfQiLT/u2+Azt+ko2+qlurFNHym3s1Z
dVa8D/LqWS+9nSWauxHfN8hsxJYpJbkaHc1mfA0JWPWu+e6nJLb6+GY2XNpyO/2uEGoR12y6e5to
+XHa/PfYLbgC/s2xmwaheCr7v5gu83U/HbwFcjbsKHpETFtRVX46eFMcgjKP6RQklJoX/Dh4E+CB
D2XrnNeYSlPC8fPB+8PFjNwuKB5XgKt/IN2DcPnTwZuRN55pqkXoFLD/6Ew28Ej1KSHpi2x0HrBB
jFQ0CjLaYtxFLivRMMEs6fVRh9to60c9yzlUOrGb7oG3lM8xRtITqj0WBsuq7xIWjp0t+/Z6TIPq
a9WhtLgZgdkoc6n9YXRKxTtZBebRHAIvbZN35zpJxIumO93GCIDFLHmSstVcBMV1GlY+Da3RLe4m
+xwaaKVmGI3bmbTjQ+dN9ks2MAYeTbs/dW3k7gG5U1bh9lq6MWyYKVavE4SwWvO9tPvs2dazYhfa
rb8qqqB9HeAVrKl8itdu449bNxmbI7p5dTMyq8soccLGFFargdInqqG0QgxvZRtG4mgUwTzJDapk
v0VjJQcsQj+JrikkIsFeB23RnN2I46IbGjK6ixKfVX7sWwpgWYTc8dqjtBT9nHSxFNRsIjUWi2yo
RqQbThHx0dEKjsvEI6cvyWDWlKpRseaTF3pxxsx6pekFrzF7U7HBp2Ifpt6Z7rqx/D/2zqy5bWPd
or8IKTSGBvBKcBYpah78gpJsGfM849ff1fKJj5Obk6q85y2xTUsWwe5v2Hvt5U1JMkEIGLEOeBT8
YRxCNw2qIXznSYp9vViWt6CNlg8ZTy+NVm+LMD5qDuvgXFDTjDY0J60aQzadop93KRNHjrxuPqXl
VKFa8/DpT3nJNDsew3jb5p2JnnHIKazT+tlyYrb1nng0OaD3lcYUI9LHYWW7TQfktpX3blTlh07r
vEd4ePIa56a+zo0Suz28gfIhaPWc6jPz3jVn1I5mBqGkmvIL7lBt3XTDtBs0pAGbMavrbj0FcfXd
0cr2MFdBAZTXbakTFvkl5NxbL56TPE6UdScnsYAfUCC+ioAQlXFRo8Z0KV+XftKueHhD33SK8YKJ
Knhxl3x8LJKGpXs5YYqKp+omGmCDF/CAsnVhWUPLtI0QsQGIS0fDaLdr3Fcj7J3Clntj4PiViOIy
SF7TaN7OsnGhVJZSfEAQWLa1sqJ4nO3g3lz7323qf7TTTCz+5iwus7fiL5aoFq/65STmkAVI4uAS
YYTHmfrzJDZ+gxRMNCwCaWLM1G/9rvNxMWx7giqHHSpcE5051+9LVPc3HXUQO0/TwuttspX9Jyex
+8eJGSMQ/OIKG6WbBscw3KQ/jkAsN08aapr54nZhc4OIOL+D3+i8lJllHOcxTV9n0Tlbtxv0M0qK
AMXcEKG9GGBKeGN3H+llxnJMcHqQMrJxtK7ZFHEdsWXQr7Ms8s6DysuxVXIOBg1eP2AeXZPx4270
EiGERgM/GUAk2y7q9qIy068xPDR2bGOw1mfGyQ1JXF/yKAqPOPIWUpm6ZI2qAKoi+iSGG/OTZ9R+
pE6oIHeO7CJdDkltvCpURlBTjpM/qdygKdMvWDRxSsRp6nuyxvtBzBCTRIUZNjsWm8mi6tsk+ahm
MVq3XcHsd1lCmr3qNZrCAFH2AHMPYWtJVTclRXowFo9IDmaSN6EIX/R0Psa92WCfKGDO1CQi6Z22
62S4wOjvzWMU6c4mQ1AtNMgp2BG9Nf5ma5dmhbUZDCPYSzG4K/qn9Fjj8ICmO9wuTYJuNgPR0GuE
Q2g2LuiUhA0j9K4Tk6N3mPnpaD13VjxW5pooLHFpQXGvZ2esDnXUHnsj+VJXDsgKAgaVaTLZiBDK
XFgvnY8xPtpQdjbrTEv1bSDFPrG01azBLpnsYZd3acAQvq/ehjJMzlNnfWgphBPm4kzqbRQjIwMw
DJj3JJ3cEkVjrtJp2hlD9mR8RmFYHnka6McuQy1uSsN90sPWYXyBFhKB+cQpjMmeMJGKryNlCq1r
sEIiWmjInSK/ak3xYdtlv23leD8gKWOuS25OqhdIZXP94oTevsjL3WDap2TyzuzRd5HADblkIQjy
QELIQaQaxpd8ibuV7IiUsTA5LfZ8tmmHceU8Ym7g/p8sEJ8Qq5Y++JIbzbtJiMfai9yvkEB2oF0e
awS2UNcrjD8VITldAVfvuk6RNvnMpPuvlquWOKbNai8op5M3cuejZovTk5A1hU0/0/ZUXmCuHYjQ
p1Aa8eHfwviH8JJp/t8dxii1/moezat+HsYoKy0HfzZ7JEJVlUfk52FscuQCsJLA7ihJmSz/chi7
cHopfR2hzCUWf+Evh7HDwQkHQ2k4derYf3AYM0b5Q1msDN2kLTASV5Qt03U+s6J/2cQg6sdWpSf6
hW0QD5CtniVTPVVN0m8GiypIz4N0rwUIyxPhPQXdQGYIY1B0ys57l2f3DlsWfArGuu866C1V/N5r
+qEd6hNI3NBvILKj6GORJ4eOlHLxZXSmcNcaY3uV1/WhHihKlvhidtoh5+xuSWAVTYvxNEjQ9s+0
5k7r7osYyTBlo0NSQDfK0i+15SYFh+Wjwr8zzO6VsYMGGKS4nVNN8FHRHrSInXYwJERvxzELWnmV
JS9ZPH8ZQx1mhp3ctU2ir5q69ZEwXOV6jTqUnLq5LI2zXlmXCFfBShcQPnC0D0V/5bbBt8obr2JD
fjGYud5aUz1QDgXIKWiVkXi+IifbYFUWb8g1Vdihu17a5ik29G8hY/YVZ2XtIx1/nByNERxQjJIY
vjR1z3MWRhvBvyHQ03O8VG8thJztEKTxBgBz7kdGjZDEDpBsMoRu0AVwN16gDHxhe4zSxTFOk1vv
OistVx4LvNUAacQlvagO7EtqYOOxx2Xfj0IHbuo9JdLb9goqNEQ7vXNhDbvJLTtLCE/FdALgdBpR
amzGoHqJI+J8qM4TBpfpU93S36Rp92Iv4xXBk1Ci2vx76TZnQ2DnjFIUopEVrYtObhgLdz5R6Ps2
wOPe1uGDkTVE+SIyZyzhHUfZVxtYhd8ALN2HwbwjemHa4CE4zqXx6av/mKzqaqH+l0n3zK/tixIp
rDW4uBiwdoL17W4Y6Gcnb8of5KkUKVAhh1EDn6c1SQsRs572O8FP+8RpdpJbx+/6JtzyB8+irzdV
iVlST8nKIZP8XgzNLrHTV2sWOCg4lCvXZtsBDLsrS7iSRX7bJxEg3DbdWt2S+VzOmzlyKoBInuun
S3OuvKwFxh6AiJnNnRGWV6ltQVbGfp5SkFjpeEyiLvGjhthvYCY4za86pMyIc2Jn/toT5vUcFZ3i
LnookySpAXeGSlQIWSHn2q1eefUd9HkGIGKKt52pb1HTEPphBN/TcPoIbE8nkYLlkF47R6eYnlrZ
vHcp/VpVlrfcWzstSm8FcmO0JbbP6mtdTQAgTWcgHVNvtq5NMryZWfzjkCU5yDHNKdmX3WRtooC2
2cucxU+GFooMsTtdOW1NOb9NEk3ONH0hqmeje/MjbzRL70Q7zLF2KupoF6XaoWDNLgmLC5Ns7WnB
PsnnbeoSKDHBXJit5WhW3bOoG2QiyNSMfNoOOT2FGdPbxDXGi9RQCWS7kQF6XuW8IU8dAb/z1G9B
DfgDbN1YI9ojLZz1nLfrKPZe8iRBn9BEyFQ8gQkkRlKXy35FdsSeruyahcbXFtu/DoF4nhwCBiiQ
zGo+E7x5GBvavtwgOgIiP+8tEDut3/dt87Vvhgv63XWbWA96HDKznZvTkqIWs2xSh1I+hTrrrZrU
jS1pjPd2H3zUUiGvBhpDCJjw5oa9CJknajUsBzO/CXScTBFSlSRGiu6SvxxZ/XnE+jtpBZO1lFia
0H3NTCJQpKvQgiwI9Z3n9DfM6Z91ozoE2DvAoDqbNMk4/6ZCW1WyvDN7r/PjpblYeohxOdkTHLKq
4uE6kMsDc3DEPN1tYPTHph7Qx9hkvnjzelmMrZTNxtTEgVn5sG4JwuAUNree3V3RYm9dRgW+h9Cl
rvT3LGgNhtX9FzOGfs6swjyga7gRZL5WYXgrFvfkuaS9LQsbFLmMkPNSIizRIadVmGxyLfZwP9s9
ISLTjZlp2zTDc+2534mmYFNSrVv2EG3jasz6waaOAJnmrrrpHPdxivvIz22796fc9ogJN7KXlGyf
dVgN35O2R0SoP2V9gd+uPEUeCAf0GncYr1ioNd/tECBdL6rraJq2dbI8psJAWzakT5zAm7awbxst
KEnz81412TxP9XQ15hFL1z53UEW7fieYSuJnjiaGN7AdrE45Aa35ENSooVnV1XCaybJIn4aM1O61
YGG51ZZu9N3J3WR6fGBdiVtwzJc1iYjfrMHs1/NQ4i1vxJu3LBfRoJWhXAjXoSG27FCSVWASlddR
k3pdekYUwnEJ72SNjv+5TIybkuQ5lsSEwpbkukXtV5spfqcrh9R8aSVYJoPzq3EgUSMtfJxm7ama
yocsxnU0Fua6yjDgudBrhhTTvrW4MDCo87M+6W8btnsbmwX23lJEc4k/k3hUQbbxD/zR/5SiGKoX
/K+6QvWKEpUYSkX0vYzuVI3067oc3q2wZs/0LuI+X73Y2+Gm9jGS+d7bw117Rre0Kf1uH5/s3biO
9uU2OtrhPjlHu38L3B8FLrPYvylwu7cibrO3vv2L2S+v/Fnk6r9Rxjqkm/6Erv4scgV2bAitFiIK
hYFD7/DfiYPuOLYBIo5Fvfz8rd+LXDhMVM1S6ZAkkV+oOP5BkQt17s9PEbJw3OJYm+Bf64ya//gU
oRQz02bKyktPzbacYT/bybWw9MTYdJSwN9wtQ+cjx722q/oG5+5Xi+nrpjHyh0HgXia04lQbzSsc
mmPWFndxHq87zUAnm5BwattnPjlgGp1xF5pDuG7a9MQ48HlJig8vJuazHIyWuC1Z3trhshU5HKNo
obNGMkh+JRiWrEvOTFdXE/qUdWMOhXg30GwSNxBmxARRyR10x2ziI4LTLtylpCgtADQ8iZO0Momk
QZ7IRSWH6uCQU7OrHQIGM3exHsygwz4T5GPSrz2Pme6pSeL2NRkDFA2DmRvboR+ShaIouXKIjyIa
xLNbVm+NTUR06zYYZApnQNrUQM7b5Mz4Q3y/03sPh281ZsWzU3HsEisOdY18jyqWb1UAec8Za4CO
bjZumX+cma/UvoGYEbZrvKmXgOQtBCdlMDwaevCkNcuhc7S7gc1eMYwHjClrMh1P02hfvEHifK+k
32QG0on4rdLKq6ynLCm7/tw73IyOVu1dVYU1nrgbeu0gBckBATRZpZg1gWVo456IAerNfI8w/hR6
xXVuTNd92bzrc3vnRdneSOQjy35KD2cfiPAiSbtY1Vl1n1ULeLl4nVX6brTbu6ZjUTmNB2h6zzn3
Pc6DN89tj1ky9r6bmwbQ6+8FgQtWJq/Nsd+wu4cAtfgCn3UQtzde2r2SBUll6q4rTRDFEV0T7nZx
EQFjvLouIHi1k/G8EME9GMnKImmB95JlN8v8KLpOAiI7TI/EVXtL03Wkk9nBVvpi2MnWjbtzZXbv
YekmG/XWhw5ioUaQTCt2rpxIPW27Ve/p170RYcZOrhtJhgj2nm7RHu3IPGTk062yvmREkR9aoQoR
d+UF9QfOJ3qD7Jk25rHUIzIPtG1Q2SdsG1siG5FtDCgdZnEaLQTTfBO+VwjkkuJEyuoRTZTfRN0p
dLj6Ym7QKTqULeY7ZN8fjWPcDd5018yptwrCwb4FpLSL5Rhdy8CCAWjklybTkwM1UK1IgCVIbrWx
WdlTfdGxiY+CR6pXkWiYrvxaeckrTOUz5nIdkznUYyrI8HZS7vOJJLwBYf/axJjeJTOPH071qgp2
dHPzVjODL4g2zqNytbt5/wDikBrIpOtRzndDeeDFpxte+eK1iH1/NWjFxojEObCsO0u56CFxIXGZ
eMeZnt8kWO1bi+wclrV76MYaHlsn2VIcnjsM+tjYfZvSWKdf2vB08G4ZTAiJkLup4YT5BUZ/Qzn+
o7mFgUVqQ5CeTJAAAnVULuvrSrECxjr/irGCN2PRgELBE0gUWSAGMWBn7oGEUHONTwMQmuIQBIpI
oCW9XypGgRHZON3BFuQxUvKU8oVlxUvnWLi6FeNAy5frXpjnCfiBVBQEzcW0XmEQmGIym4tkuJMg
E/CfHDVuYFfrs20GIRmd0XiG7jGvBkVcwB1Q+Z6iMBiKx4Dspt4m/XwqFatBmvElTevHQfbSB8D4
EEqb513E7HM7f0ADHCjyA+5MhNbAICikCzzZinmpSBFEDmZXkU1N+e/d/+Pu55r8m7ufk+Oj+Yt7
n1f9vPe53NnZKqHw591OdfbLve8xbfKkJdgJG2ru9Pu9rzLPGYTBkmUB8QlZ/GW4xXoBKqNO0oSq
KP7RcIsZ1p/vfYeRm4FTC8cW4yj9T9XjYKCjqDVvvnBrtVtdy4pNa+mwmVLTDeorV08mm6WerTE4
CkAzj8DX9dzegYEGsdbgE4wj3T5NitVOYgTMkhaMNQY1P5vNdmuIzrsG6Ffup6Gubg0L5Im0Ou2K
0BmbXLnyxVMcYw2gcQHqACvscpvHyOEDRT3WKo5LExDyoojIhWIjhxWU5LgcMY26DLR7PKCkuRm3
qaIqDzmguRyOot5AXNYUexmpSXsgShJXgSdhM8dAmi3hfoxAm0t20ZWiODe61A6JIjuHXsbEQtGe
9Z75lWHceXTsq4BRCGXTiECvX7cKLxAAjdbxDteKIg376VYHK51DkPfATJOB+gXC3S5R/Ol4GQ2/
AElt2Wp7zjxpqdxvi6JWE8gJZ8sYrqBZlT4MxdrX+o6IG/K8PLDXqeJf24CwA5osR6vPIHJekpgb
wVHM7FjRs0d7fl9i41rEDf+D3CaOwszXgYm4N63pavOOKETaSwDSjM2I4qwBFLoCX1RV7gxn2qKx
3xmocnrVhTfLx+KyBLed4aqYbFKQG8dlxckhWfStQuMnOamHY0VABafxaFjPFWFNvUbmam1Vm2Ey
7HU7fwSO3BgG/HgjCBVb93vvhOXaSXFoddaCdV3vMpgWxk3QzKTNSzK9AcwgHl3e3Jo8WYHOluVR
SUljkRGO5PAwIPhJkvK213NySyRLGDdjfVBvbQIgfbwWu15IskzCZ/xy3qrLWzLWu4wiCUWQi/wH
5Dq+4DgNwfLMi753soLeKG9ZGoTMouLaeyL/4ibNAabULVz/0W24/tsJPnz8xtILA8JQvjkTYrB2
0uJ1qwXLPuiYehGOm26q0KLWNHoscmKpEGSGFj708N4JHJ4pnNl7I8/PHQsIvy/UJT4tGmNfIpjY
J17R9d5KEb0Wjhmsiil3NxhRTrk09sQGc7aH3mUq2pZdkIEON6LaJV1pJSvYxPYYEG6YTZdy0g7o
s5DTj+lXutDnJDffq3m8SSyUvSLMPzikrhuDUUwzutckdembxMXFj0phgDLX3piV+S2xYhr3Ktqb
SA7GhGwGo7iPiyxhfLCQxc4Iu+UGYwiWJNsqZH3SBfK1LWvAkREwtCT9SBbMH7MR7JaeXTh8RQlU
WA12QpVEH458qONso1XpczGWz8TOYHEYrLdGT74UkmkjaXtQ2coAfl1pnvvSfUoa7UqEwxFHiQ5H
wN7IiIx4cl2RkIK8A2IA4Vl7BRiNdqM8lQ1p3aPTjqsodF66hVIhDU1vP1SOt25zj5hgwYNXt551
MdISn0yNrvLbv9fi57Voc4v872vx4SN6+6udj3rVL9cim3LDZsnOHfbp4f15LSoPAmt5BbgwuOsw
vvznWlTB17A0XJc2lc7XNrkxf2+HPQzOKpkJqZTavyOg+gftsC3YHv1xqAIx2Rbqa8EnhjbxJw9C
kTFqyfg2LoMXpe06MYlmtPV9UhTasc9CqLXW4ttKtBgM/WEaZ7FimkRI3+AdOzuVfoWbYBsm84Or
lbBgEh7HQsTZqpT5Jumrr6Ex8ciiF5qAzMiy19am1j+19DB3c56MO9nIAPf9DP9qcmAvGKZfOUNz
5iLvV3ZoRMTrifeOoGmdxPp9NRZ8rhNyIkmKTcmF7u9mMd2ifJS3Nah1CFuju0byRFIcgqlV5imG
Ro8tYvY4LHO+K3dKyYbstb1InGCTABlYuX38TRTGxJ034PrtqGGZ0TE8hslESp+ZMkYOCnEJDAIt
pr7g10i62zsiE6uKL7+oeNuGdCa+CuSzRYXfNqbSZpKHS3I9AQfRcSInt2u409javnUZEbpShemW
3WCjpEzuSrtVc4GrQdMZ5kqTeL2cT/miqt6GfF63Z2HRfEb2utpjtbT3Hlm+mETcg10vN82Yzmsm
+M9m7Xwtyf+tmaatGhKBMbLfkFz1EA5EBY+UAQPZwU0FH5EsYRp8sBgqXpiYaAdsVfmSjNlRkkA8
JUQRz2QSTyqcuO+8bUxasV14H5WKLxYWq5tERRozKihXxGQABVOZx3E80h+pHGSDQGSXYGQAYfkK
fKPKsSW9BdEFvYpKUl7a9lkO7SvdqF9aRrlJw5iErDCGGkcQc6kSmXOVzTy5Mly3xDWXvPXZpwA9
HuA+Ep0FqRd6sR9a/U2lFOu60q5TsH21qu6Fdf23PCysbWCKb5XSu+Mh744FsMpAaeHxKQ5bqfTx
Sw1kMuVx3fW6HuP+VkL6WGnqK8s8aEplHyJX8U235IOABH9Gim8hyTeVNt8LRmcjkjZd95KQ9QLx
aqurFB5Xr/xK6ftjIqFlFIAgxjaDvprPSDCRnDkoZ0AAh5TJj7kaMQ2EA3uYyJ0uJnYCA1sBs/uL
TN2DxrC8N8jUoCo7e/ydrdXdV8qZILEopLl8drz8gneEK8FM5nWAnSElQFJX9oaie3GU36GcuDfL
pPI2reM1ful11BAJVJO0OmOU27Va/thioEjr8NSxWNkLrBUxNmcDq4XVjwQSKPdFM02XPDNo5vXs
NcKpYUu0f1IfnUNSOyfDy69jXB2ZsncALDQg3qUL5QzmjzDCBoIXJD70OEMMHCICp0imLCMuXe9K
4iKxHPu5b9qLoewlEUqa9aQsJ3Zk2etG2VC47vCS9t0uZCRCybuwO0E9NMrgeVE2lrrCTkVOJ0cP
r2NFNlGjZCTWpodgaT5qZYlh6q3AhHA9lV0mUsYZjx+rP+ClMfDUdCObNlPZbFgcW+t0aOQ+xYNj
48Wx8OTEUQTKWtl0Mvw6Or6dRZoPAe4Zv1GWnroj6gef+x0gCWR4OAVCs7g1lBGIDch36fU7Ji0z
vho32BjtcNvgHgpwEQ1Re9Y/bUXAwmNlNAqc/DbDeTQ5sXaM8CLFypSkd9NR4lIaQoLsYU7aflJT
18tiTDeZsjUtenTGLg4FhmpsrTXZ93AJHojEo5cXKjRBGaSmKPnWVKwrSlSuujJRoSeilJcYq0bi
mfYdXitHqcGXermdlQ1LU4as1AvvJ0DVvXJq4djyvHxAedQcgUdRRoso9EngmXcmq10/k3C7AYK/
5LjAulB/o96M0d5gEHNxilEMPRo4xxbiWJWUc2MN1rbBWzaU7lWM1yxpg26/8BAhZWTUaeNImx3x
dcGhZoec2RMjRIl3rRbNByuJc4enbcH74iiTWzvD78X1VgI9ACtAwgxjHFgzewd/nA5l11JwV1z0
nNwVCHjsB6gHMkzwzgN0+DPpOR9px0EZm7LcQE+CNECP0+HNY+xCwlPrXRoP8byBfy/juaVkZ7Dr
KN35YBD3xLa3sVksS2eBLjGHb9ydzaaMo36lRaDSdHQWF9eFlIjK1dg1bfMSp+LeJuPeR+v1KJzu
lWRvaD+cC6uWpgFmcCU4QQTOO/fdDNxp13gN69fyvUmgXRRu+a0FgYNnG+pNEZnMEtPEXgdMtbnz
ECnwe2MVXXUeu8NuQOrBMHXj5f23QEmgdKf+ZkbFJUk84pi1gIUr6RyiYltqhXO09UrmoyFarFWQ
9DAKOk6wwLWvI4gFzM9iTHiQu8o+3M828i6Hc5I8EPyHxf1cLhGwkORL6lRfbepmE+bILgjw3Scz
70Ew3Au7EtAp2VovmnOouoiruAAsmlEawSpdCIjVRHuBZLoO5/x7qqcl49bxMjmg1VstPOlmzGao
q767WoF1xfJex5LxqlbncO8KSQQMLvYKX7WOXfy2ITiW07z1grOFBiKKmSL5GcN/EMKpV1+XWVay
V29iPYTTzIYARLTw6uj0bx39o45Ggf83dXRfgqH+K9y5zet+r6ThASkzL3JVpjg/fLk/K2n9Nyy0
iFzZLUn9V1OB6f5mKV2VLozPOtpg7PN7Je0QDygMlK9Mnn5A0v9BJS3/hKz7VE8xq8J7ZeBSUOOs
Py6WxGAjyQA9d1ns6IgkF2FKSd2SEohGDBq5ubiLkiA7W1WWbglM2uu92MVVd4lYUtB0rr3RwNqq
KebJcWyrt7S3XoMWYWPRnadFsKiw9kskG+LFy9mPnPCVjItbPDjpRub5G/ow6ZOnxl2R9ZW/wOtm
+JSRwpZGnEd5h+fJjK56msxTgcLAjZQ8RqnQF4RGjZe+S6wyZiAoNwgIbxgCV17yMopBGRQ5nWwy
vYweO2oqCAvGWPpNliW+Zeopf4kc6cdDKg6YmU5d5xzMIH8w5+kDJce5tTylCHiguCkhxYW7UvZX
0l4g8Q3yYpfOMetg03iR/Whiyic29csYyW07EOLUoFRdjZ57Y3kN825QyGN6nYw05JoI4JMBmCPC
CUxXoz17CjRcMpLQ7eTEiIVEsmoGRJN2BwIP8Pali4DH4eVbLfG+TE5+Yw/9ycLNe13Vt4CGtzkK
K66VC4z8bW9O9BbIHxKSQEyW76aAk5xpL4MVPHM3bmVPxpzHcIEBQv4ez/0jclLkrwuAGDEl1/PA
j47s+Vt9CljfpzJ/qq0DiDq3g52BdpVKfbgOdXcbIK1CySpHf+6H+2hONvx3vI3RiKy7unjq+TYC
pMB+GmvTyhrLnR2TKdi4gpH9DPiX9yFJNGeV6G62LmcXk9hs3sUuVskx+GbVFbo7KR+sUt5p9KK+
1smTl0MP6m0HKk1FxUiZcachKbOh15K+goRtqpMHNyi+ujgJiyCH1Zl+S4rmKfRQjEjDHrHSpnJf
BWL0UfC4iIWn0Kd02JqWQvc5CPLKOCVeoseYkO/tJUXiNOxTw8w2RT9h0sOTzM60WlsS7ZzuVC9l
mW88BEkqbDzy66yNfWozAismQZZFC6pRY3u0WqYZ9ZDwqjOgQ8g86V1Q9a7PGpfaNkbzB4TWJQ+F
NjBrIHEQ/0GRmaIMal9i6ZxI0bkrhjL2ndjLfU0syy4vEuQPQcNebS54Mk3jS1XU9+7AG2+P4Xpm
G6f3wbdg0MTaHOw7r3Lv+jHYjyYtpgiCg6Po+jYP/Qq2wHZilus3NFXopNMWQQdhJ/Dz2Z8s8xuE
7tYntCOE8c2rO605doO21lM665nlpVCbHY+o7Hgx8s2c3rEBFiiu8Akub6TyvXWDfAin4SHN4L5O
7g3hf1RGIZvB0YA6YsbaEzaWAvCss4mWbhvNgzyilRnpV5E7ozYMWaXMb7yv85HJI/QvRMWkLZtr
Q7M+jKk9Z7p2nkDob2J3LjaMBd/Ydu3nqrN9mvuZt4vxGRYQZzU3gK6NerzPnbFkpNiJXYA4XEmS
+X6GrFiPPU8gv/7dyCb8j1D/WaCpxjvT7upe/2hzHglL5jHcP+exaurrNgMubAjro6pQWGvjtk0m
iX8+sxS6HzGSoJXTl+YUCCTchcW7zU/8qi74R9MBgeLuilcrz6hBNM7gMHY9fxgI/SJpaR/gBt+X
Yn6rJdlAHkejlWIxB47Essk6L110abHjr9gjuOs5JnQiyUcYXjAlW32HZeGhWjgrS3EvwprWZmG0
qJfOW4imvZIRq3krXo8xMdG23j9qchF+QNmwyRI8xY3NQ522wesgl9emq++i1gr3YaYxGRb9hqFI
CpGmv69cka+blPfX1Jhkm83oj9ALV2HevGPV4aio/DLyLhx0O9yf8Jyt9oGEs6fU6J6b2kWgk/bP
lscEWBijWOu6EV0tbYK0z41sf47olcsQu1ImzEPTJveFNHdLxbY3SMXrmGJG9hg825kHt81DbWdW
cuU1xtMgb8f2uAQvY3xlReZtkdC4wXJK6BxjMGdSFN1OFuW1UaFLrzLR7vVEfggO+o2YvJshlny0
LTR/mo012JFLvMkc+v7YstalN57aKmMFbOydKeP4jefNMot7fEZXUUl9GIf9s9Phl9br7lh310oT
0NlEMIUozAhqYjtfevHOqBsCdZr4WczLDjZ/cio0jv9Fa87e7Ghb4FLp1uymZLUIk8DTyuXdCvLN
WIVH0g81v/2MeRCfkQ9zz1SbhurDVXkQY9FhGATlbTvPSQnfoUFzxdioXuZrEak0iZb3mdm73Icu
A3e8/rBh22PQLaiXQNBe9IW2KkADcRhY+COPJLait2amPdNkcB679YbLI8H+Fm5zW5xRqRw4jY4y
4NFxLbjgHWgrrbHMp9ipOCGGOlxZrbaPauvastpwX0T6hznrH5DB37lyYHlE037WtXXuwgzCZmF2
fI9YG8p1OmVfp5jcXDuM2JAkKPcCGl8yDF/gEA07LDjJZqSIr0nnAmi0ICvUlGpXXoVKCvEOD0FY
wR0+5L2mjQbJQc7FrPCFx30ufAzmj/z4ucVF9gFz+zgQ+bmtkIQ0rdwlLrN+Gyvatph0NkWNXiE9
Rfgo6vGl6Cb86JkC0a1lZj/mHmnDdYKHYkkPoyW3TQytnc8JvvNpK7rqgWCwrxyuNx3WB5/0W4Zo
sr4DurvlgBO70WKK7wkw7xFbcmdBQyzx3HhJfqFHIwEgiPpN7KXzppk6ngc0N+tILhHzuHaTTyQP
VtJqGdYbb0vLEjAbsVCSSMmSTl5T5L40TXWanMzxy1zbiJh0w9ElfzjZDqNxh6Lyik/uHpWTDlA4
UkM8BVZAXyC4alNxioPuKsjKZ9qfFwIjuCMK57k1pnM5wasdYzyViYbcwbPDp3wmoVGwDVziY2M1
5ykMt9VoMIGKXfKTK+5oTT721XBepmilF/F7ZtnAwwQdkjmfhsnt93MzM0Ob5DkXLliNnINQQ4ds
xwRS2dY+LY3TqC9XfWOahOagOpCLfE7GPL8xUaiuw87VAI3BQRgiVEgDc1Z/hI60Aro4+1VLFCwm
gn3LZI/dY/LujNQw7tTfOBVcca8Zyl3ote0pr0lyq80RUT5bOLZUGJKgI3qfUiXjU7aEbAEJk+y0
Iz7cfCej8uB9Cp2yT9HT8imA+rcd+9GOsWr43+3Y00fR9c3b/1/327zsZzfm0j0ZBvZP8Kd/3GvQ
qNkKwmralofCTiIS+H3db/3m0YnhMbE82rjPHun3bsz8jcvcoIUzdYd9BO3TP+jG1DL/D1JRhIIK
5020o0DjbikR4C9OlknXwqFpiv56gROgfE8hu9XYzX8YT/+nJFXo/299AgrdgPoBVUw3DPbgf/xC
Alp4LROrojK0vcc0qpmj5042L3s2LmyVza7orcP/sXceTY1kWRv+Kx2zTyK9WcxEjBzeFVBQtclQ
gUjvff7677kIqjGqmukRC30RzWZ6CkhJl2vOPa/Dp268wsIfpx5T0W9Dm7tbnoX2UYmp0rFiCSUx
JLv+wqdo14aMW5I5eFZ13EZhpX1v+8K0sUcu2hbDY1DYVm/JbY+k+LwLY5IdgzzP1HnWxQ2m1RJ2
lJOgclM6SIMzFyoemVyqeyPWuzOL2+e53uBnMVVyONWLzO21adzShorxdqX11WXaudwqRnTSxuF5
WUcdtEJSWn3nQlPklVHlDymHEqLlawvsM+20fUMyQdhx+8EyPYCZ7C6cBM+Z5NAdhmKmRTAkq1KZ
xUPx6NvkNeX6maLmj43WXsVgtXM25fCbFaHHdshHOZWsvCQFxDCP4gAxnZPgLD6qFeWqpD3qYYVP
tevLZ2ld5HMcTIsJdzIDsbh9Cn3/rEohO9ESozlF7bxfp9bNoEh3sYpMKQt9BCN17akWeVUqIh0M
BOdwSYI5lmA8goQGhRDym1KvtX5m2qn/pfJajJxQy82dXiYuFs0Qo6gC21ZRU850qcQtCIf0gsza
I19SlLNXa+9iPWn/SBtyK4O0rv75D5VF9n4uC5cyQBqdxcG0fjvFiqEsPI+szTMOoCW9RuVqvLIm
0OwhO6ewEyekP8wxHJijfJ0YR/pCm0PHmkb/Ya6/i3PDQ08TWl3HofOBUIzz7O37MHrCDb3Kz84o
7Y+GmFDcyCtc7jVUI7YVOfOidfEWUk0iTVxbPvWs0j1S+BuZUYGxlTWcOS6qWWLTv9d95iwqlUCg
us4Xrj1+twzXoDsioScb+1uYlhb5JcUwtSqIajRr8VTxaZ8bfj/H42y/U1CguSNFpO0io3QORg3o
jfxzXTeUSVGXTAoH9VKSHoQ4ZWV4h0wyOZ93nXeiYrLODQGH+5YqI0lCMotaYudoIO8XntCHaN6N
B5EHl5JTrlYyN858X46YaJZTYJMkh1e//xO/3USEOyGBVjIucLpD/0hz3m0izqh2Tp645ZncJuE+
GwEBUiVnuxT4cyML9IleeGzXP3f0TbOKRtqrWfXxNd/9NaUeD4k28qqzwtO+Ea487VEbIU+zDvSk
Oc0KGJSeSTfFIufSiKGJGno6nIxlg5BHMk6ywL6TA7wdYFg+ulgu5UVxqmbmpeyO94ZXfE+6oJgV
aZH/HYK81vqLfuLPv+BsWS//4BgO6uFsmaz++Y9v2BFtOJD5nZcDGbND1iU+6QrG5I4uOqc/26Mo
/TmccDrEBYC9CYz/5UAmDRJuAnpTJBWk37wVl2qKJgwCMF/nhzBx+QsHMlyCNxNOqDeI9KAXi++L
peK8+I5oUJf4i8Rq2J9jj4IQyYab5JbXtUqCe6gO9WxU0uw6gGJ/rtZJclU1bnkgyQoCq9FVpgpx
MfCw3HpS6NoZngbyvI4RmgxWSLAQJh61KnM9LNofTtPl19kAjywq4v7C4Uo+RQFpTZ3Gza71qj0t
5Qb7rBSDtsDHXMoruJl0qfcF/RXUKkPV5l7rKrNKUW4S/FYPYkRW+yG7A+T2Q1LGr72iKRe9jh01
JPvgPA76ZEoZ9B07l+7A6eyv6agGNwVtulNfHdIFtz5Sv0TUucIQnAeK7S5orDgHqK2ESEjFFeOJ
qSM4O7Fg7+Qp4ehY7t1lFfQvPQ8hVTTJSQMdIIL80wkWUA0dyBG8IAOCkNzo88jy5LkKdSiCQgRs
9pXRPM0Et0gWLCN6rgl0X/+7AQGpNx2kCFCSvCK6FR5P81ywlVxoS7XgLyG5MidaSrKU6XkHkWA5
SSasKsF76lPzyCQ3GPiL9pojyFG1oEn5boctPMwp/tC4u5v5VSa5ZzrcKpu+kYa3M59Ee3BhX+Hu
157gCUeQST3K+J3bZ/hUgSK545mR8Set834GER1MW/uhaiX09+hecnN2cd8/imCAmYIKBgJWE1gH
PYxb56GBZAjQpq+wN3TOMfiElJcIrRVSUEEzywThjK7it9wbL3WYaODUWFoJchqBXw4SDAhrpl1E
9jkX51D7IaRIw6FVwzOxSLYgAm8E2MVTboZZO3JTy1hJiD+DxibaRBrQsXFGuE5ogN3GRy2ZfdhC
QrlQE+VEs+inx8JSzpUVTmzDDvYHI8KnAlY90SBcDg2jhdlcEtrlRSS+0Y4bfHofAQ548yx0FrKM
LgzNCoNMeXcoDVXBnQwFZccCn8rMVM3Lv8RpSipfoB/2tkPXEXP+69R3qwls9AMlS/ERNULqPMdM
ZqrbTUddTifa4K6GQT0IJNs4jAzjuqxduBspyaeRNrUs54wOYcyF20Bq2cH7s2LzULJL/Zw+DIQY
nG6muRJgMV/qV20kKJ61cQLdG4I30SpTWTKOSryFjpQhOy70WDksMvpjXu1gwnBXKe651HkLLGr6
hd4FeJ+WAVK2pNyvBpBI0MaZXcQ//NhY2FnOUmeZ5MJMAprh9xx3iV7YTESSZc8Qqinnfoc4zRV2
FPTcvCN6gxi22+5ZW0gZ5DkIm4MzAtkLzi0lAjr1/nJQoNCRQI7txTDaKGixwqC/xP21yvT9wXMx
yhCWGXmRHnvCRGMQdhqYb464rivSvi7MNjKYv6YECjviw0GA9V0uJdqFGtIGYPfDejPQnamPf4ek
0TsXhh4mzh6FFXqPFV4fjs8yvrTw/xifnEAw34Gq8XRs/O1bpv6Wqne6LAOajRsuteL3Xs5Qbq7c
PsE/sC0DZxS+Nz/PUGRtEPHWxg1v/Bks7rQQ2y28IlXsgRUOvpc7LdI1cazCrIPd95ela4o4It/c
ainbKMO5VxNWp6sK7/z1rRZmaKRao+qfJ/Kou5wttfG9V2RQaqNMU+8C0xnjaGwK87vp61154Egp
JjNdL3W4r1vVV6T42ZXjBAaSba3psoWWWvVtpTUYool4OKim8Lh0oINeYAi9QBNigSuovXlh2xyO
nnLeCOAhHoRd5FIViETQfzErO5m7oBWqgC3UJwADJKNv3VkDsuGboDKmADu8ssV/VR6WkQBCCgGJ
NKqHtZSASVh3MceGvWBlAvOkdIKMxjnUvZKgPHCWPDG/6OAuSWAiJdKsh8Htz+i8ezMHjIZa8yoH
syFqE/BGwDipAHQ8FWiH4Pdkyq0a0iC4Twj+04IDQS1aRGYanyQgRJifEmPg4lmjV+BLeumhFOvQ
8+ZgSzD6Oc7H/FSjY0X8gq4AvYmtNBmqSae3mAQJoIo7oz/tUy8+wStkPoJmEbaCmYJCS7ORy9VY
lQNhYCKJvmoO4ircl0HFlKie5RYKoEFyproAzvCzXjSZyFYQ3bBCwGvI/oyDIOW/9LYHpnKyrylo
nOVElzb+CnYe3yuRf20K2K6uQ/3EBckLcukSVQ0UMwHyuQLu8xrzxNMAADFY+uILRLBMyPowLLDc
9Hik/ZAL8JAUJly/UqCdXECLmdcfc2Ga1sLXTM/S/VjAkBA00QqCTDYglKGAKk0BWuJEMDfzWvTr
u6kkgE0YigtdQJ2NAD2tJ/yz1A9rAYjaidEDcjSXowBLDc0/SwV8WgggNQRRLYfwhysgVtOnjQPr
Z2GV9i29pTsLoZQKKhsnHuwf8Tbk9os02IvCHc9jcNwqUBeOe8Fkzc50cN7YiS7GwfweCAA4FVBw
2QfFRBfwsAxOXJtMOwXkOKNbaQso2ZfsW4mkDuAFYGYlpKMtlcEiAoE28uRcA5HmSnfRVjakTgFW
e5aOZKz4roNi+4ZKfgawtgm+nYNzD0GH3grkW3LcBaEBGQqO6toOLYD3/rQ0mxU34usK7FyxzJNQ
gOmygNXrGAaOIaB2GGQP5HCzxEYP7KyPm1kOMs+HF75q/l0hQHtFTs5VUHz6tws8On5Ikju1Bcxv
CcA/Afmv1xQA/9gSpADw8BJQDKKAJOP1KQnygPFEIxCEAtJVl52gGNRwDZTKvYNqOeAKo5aINvUD
xx5PYvgJjQI3B74CosplDX9hNHhR+Awh8rrYdQ59eA4V8Wk6vAc8zymaYEI0ghLB6ZwuBhA6XY2M
CRst6KB/5DS1dhwoZXpZ9RGp3X2r9CKHoUV3oI2oVwvMukL7FlpJTNJcQqhCEYQVLtHYzyYVJAgv
zZAt9rp60Q86h3GgnPksrCl/c+M8JdhlYrQlf5za6m/HgvK/VJT4GNM8Y79mCHDbk+IDLFhQlJCQ
RDordGB50pq1T2CPBhyr+rz0kMtIGEM0dH8f00+tZ2Eq9Otr7mn2kN1/vOeKX3p1RpOLhdUDWzUc
qzf3XCRohqVyv9QJeVC1V4R6ZY8mC+5G+PrjhyesA57P6Ce7f/TljoZUS7CK/lLfWRfNuDdHNK1g
QdlXFC7cSN3e3XKLrNBr2w/9i6IJCSkhqYXEQ8M6V3CiZ0PxJFca51GedWY5afJRRqMRWLo7I+qw
xm1l7XNtKp7z2NnVQSkRFrWkhg9lWldpLKH81Cu6an44KHNvlCQAT1pZqK8L3SexENOxnpvyaIwx
LGnobAGXJIQ2HuZJUG/BxGGmDxPC8oiODMsAw0qra2jjxOSOY+1C7+mg8EoA3zTBgN0surg8954M
PhsNqH/uYX9qQhMwZzKUfmllBGSX/z31n6a+EHj8eupfBatyE+gifutl7qsyFrkKmRZgB+o7N0dl
TxZwB2oLQyfV/hXogmJExEzgILf23OWBLwUq9a4D2EI9S2eZitL5Sz0e8dbezX6KZ5YgFSpoCEvq
bYE6wuP01SzANZeWOkYDI7l0yvfMe5Ad5iQk3dJMTwIbtCHoHJDFnH8vVescwsB5U+QLQqG+xE3z
nYyDqTxI/X4V+XdpaewXJINqqQ0YQDJ5ZX1TTB2Tvr6myIqOa4N8KgAe6CIeFKw+vQ7ltBC69hj+
Mdn0cpB/g36Bi7l6bMCtwgFqOWLlqITjnapLSJH7mpAHcpX70MK4KTioGmKawnS8oyd00PlRMNWj
+qK3/G9hkt6MdnaC+vEOiCuZRIb6KOEnDsr0NVISdaI3xqJ0pMVojRcgySANRb4Pk66ZQpsn7RxY
GbYuLHq3O6wDzLqoWQS5dd8qSCOvcF8cEvtr0RH5kdeDdUg5pEw6l3aFHBNf1EkHVFk0HILSPWhQ
PWZ6f6hS/nS5+aXLkcPUSXkTG8MyzolONQv7iPvqLVJWNK4ZPk1yf+pFuTHpPEuaG2F6APEopP3b
HMMbOMRGEwcgF3td5YHQt++e29wMtsHdWKdtTsLG90iunElcaOha9JVmseuABd489T46GQsgCfyn
ruDJDl1rzuV+gLo97Nt2N8+RoTYVY+Z5MVJCvIfYBaOQyumM7U/x5y6Ktn00iEZP+Fkw4Mecy/Vh
Ztse9gWYEClqDdReZHJJIkKg47dVVWA+y7gtsGCoDbXG/RyJ/6QnWlwXsnV0jTH1sefTxs515zRp
CpJTM+0+9cEI6OioMw3EW6Q08V8dIWZjdY8FIwHfUfEIqcUkFIOg+pR6wVIGKjwj+mIJVqGlWWeS
r2L4o+Y8A6pPJvl3ca9/S+0e+6m+vcqbyIcYRwmkF8ZDmFePmPGvxhqeQWvFXz1TZypoGt0iOFER
IZJlKgVzHCu1uW60F1zCvBnkxQPdL7/ZkVEvNEmP54ZrfxtquPu5btIPsroHLOYgyGHEwcwhkYPu
kI0u1vFOY086877F0L892iB9+KDTHDMS5gupdGQZH5spTqdZftlqMOdJm7jJhSTSzDyRwjfhQEU7
JZu3LsKqfYN/sZXu1huLS6q36aBLFb5w31LDoLs0YMQhWdYYzHgURoFWNJNMKmfTJOxC8qtpXPaU
6OLcI2fwSzNk3mHkw0cy07OxzBFH5egh9HIa6y0CgWKISgoFttO/Ox8CEfz1uXJdBikwwseiSvza
z4MFhIB+h4K9ujg8RNLoz8aHtocppfFT1P8iUSRbyUSJiCmlyhwFd3h9qvDvsozDjkOON2aSf+VU
gU/w4VQxOPEcrCf4H96KOHVegflEgPRmUVTJRUpWqH5aqQ0nydAEbGl0LjvVIc2iZdtEEHGPK/f3
UcgLcEm7gmGG5Nj6MbSdP89RIpQgjoWQJhCTGs8a3TqThWwB5wv0itwVILAiasACjGDEHKGDn3tn
XJ8iiINwnLFaOa+G+kES8gjD6R50IZjwobg1QkKR2cFxL0QVmhOeSnlxUcqZMcuE8MLnajmrhRjD
GsoHKcOiEUHfjxaz9TGJhn0ZBYeEksPvamWCI+aBZdXcgyNSR4Tmwyi6bx2Sv5g72DREFqIZ9Z1H
ibAPTc3G+APtiIdr/xxsCD8XoSxRkJiwGrN9jkX04MhPgkA9z0QgAgEVV7KISPDJSuhV+SiRjZVe
J/sQDJeVDqVPhCuU+CD0pC2UTs1POweJXN41GOZmPdk0qchnIKfBCXGozWYy0Q0kZdyXanVejsGt
QbRDpBP5idkpaQ+GeUFfGcoaQRCJH8BgquFojlLjce8LrqpAOyOF82x8ypGQAxUgl2wJo7CTw1Ch
NjVE8gRHy4VkQGlHNO9NDInscnJjjkOfrKxQZFcUXnzqQyWlt9Lf0Gw6UjvsKB0CL+yMrjudlvN8
oP2KE4F9WOapuk8KBz5FJGaUwjEuH2J7P7L8chaKZA2zdfu5IdI2FHQgU4vuODmqX10COeKguTDl
5lzOUhocklPsl0QS9TQHJx5xHireyZNeJHzo3YjcWy4PEwkqSKlK7j4LzZ12WXssW/KZz5+Cn4TN
KZVfzNa4wIv00AtxATTVkJzFjP4BV2yFCMNoNG9qKHRy4n0ljnwFG0WiUsF2ymi4RLciv8Ruxjuo
mMTrqCjGrfxWasg6iavuRkIIM+VXIVKIRBStja4GSR3mmmpCNVayxwTRH2YT+SkGa+eRPniTeuiB
9clcaTCemvc2kgCrSzzWSmmTvh6oU7JOD7oaBnyklf2ydvNwJle5O9NK4l20KLxtopkVBzdaDeHM
FkEwrLWZTidmatdWvZ9WOEEbHd77vaK6Uy2Tj4e8Ix0HYmMSBtqM680l0cb+fEgLDJJUBIUplDvq
QqQGT0E1JNYgoVxGPYb6zLUrXTuSBsRAFG8SaTeZVc1hY4czZHoQPLKvWI08yiIjJ7f0x3KUvzmE
5xAJeJYPw5UqUnWgZPtzE6okRynE3KZaxoA+k2A4tLOREElHULohxjL3SFOp9GlpD49qVX73pOa4
y+rLOJdOIVbS4EjBNIn+0ZwW3E+kARkiFyhsIuFNRFZQWdeP4ANIlPtOncW9tQyK8jtev7gOQFme
qCJ1qO9s86huILtWhmRDFtfv2HWLiTkAQLUEF9WE2cEqUgPovfZxJdKNvKohdXRsj2BxtrTIvC+m
3y/xkcTCVKQj1UUF3Odhn1PpxYGZQPXD3Bbbrv6qRuMhfMXncU98exEFWGelRsmiy1gStnkal3jv
Zr2LIkoDqGrcfmpJ3pXr6udZ7lw5Lu2dfrBRIIIvYjYNLZ9wek8pFlAF47uyo03qdu2JRBuelrNY
2EZ4a5mIRM22QxfjdDphr/6PPuWe2egBvMn0iA39y6BnJH3JCUIKtbnMEezhUm7MWnC+fR/TzWlb
afrEMMlTsNMjMoT1KQDwSeW3lwHchYkKfcQNsBmxshKbLS/md9v2yjBD+wAc80eV0S128tKd4BTj
T82wIN14lB4dHVFk7ZfBPvkVl+mQ/TA11nYRW8gNEmjCMbxLdANjSoClg3A7K+4UOxGZSHCbkwHS
uqYS7umjUZpl7NlGnsqLEF/2RSyCZR0sGnMmEiZsi6Gm66zwJ59w3JXTTiNNte5lb4F8iTGFN32I
+BJHEj0BG0QOp2VwRRq9vfGH6LLjTJzWIcbsgQHf17AM1AXSwHSDnjNrQv7NFqkkuTR2s4h0iEHS
MvxnLNrLckc2XWTeGDV5fOnwYGTGRejlq17hcZUe3gnh7qQjPGNiNukJdLjijBSoU87/fmJZ6QEs
wcM6zsupPqgN2aakpBRxGB9WY3GjqSz8ONVupUE/h/Pw0BUxndnwhsNePkbkgn7Xdg4r8jlx37t2
xuhAk4DjLNKWhfsYgnC9O3ANjV4GDfdM5LV0yClnqmXdB30Gp7nM0JqKoIkhs78oblLMDaTCk3Ts
03meJwFrpXEP5XJYmhKTofZbdYHR8nWfoiK2Xeko8LxlGVozDwNdFD/5flbglZla+UUWEd1J/9Sb
k0R+n8Mnwmgt+KbLyBfCwryQG/Nrppv7bh73B6OnPYYyjRKtxUxTVUuSCPrUX5gWVlq1id2QnNG6
SUMBXAeDMylG5ZtZtWcOAoQ5zDgMSyR2bYiA3iy0sGIzpXApp+pphI51WgduOC3a/DgQ4Rx6Xe4P
ow52owl7EDk6CL26nwY24I0sbgiF6qbTDMbxnEzLB9+jaV/YXrloIX5AUG7bGeohhNlEfQ2SeYu9
rsLdzDWmSSFd+2V3g1IdJWngTOEWcnVT0E42wOoeHiiYFfpXtWkVhDbXh43XVNNEdm7IWKPj3jlT
rarR+OdSgwEb60nD8Lv3pHimRumhROXEggxlxCrVj9xLuOtwnjNaHCHhQYGKHDl+sOq4XEq5+WjK
GHhrNodAAgua6PdHq0r8mRqr9+1QHjuc5JPBMu6r1tovbFh5qaccuamWzpyx1ae9Gd16SVJNi75U
pzaOYigV8AD/IdsIRZ1En9g6yLDShEe5URIk14ThmRpkWLaiF7Ht6JsnGeizuvBaAfeZ5I30xUoc
E/w5O9Sd7ran5kLbP5LqnGfpvKhpuA0GltFJVPBxdLKS7Y7keXyjj+0CSwQb1DyyCuyLuu6RXAxM
Czqrn5NRuZDb5i5vWbp+qVzGXiqM3rRTzQzgaRvgaE2UXxEFZ0wNbLMoL3v26TI97fUyXZSmjtlD
fY+VMjbmQX1b9PA1kka+oR941A/xNe2OZNYRiJ1Z8o9WBCjaGLySlmV1M0SaJ3lVLlK5tyc4IWI6
l8sZszZcOdTGfmvCfu/T1ZiUR6MDr8HDqVFV4ZmG4awmdyZvaThUVHlWxNaHEqGBNdpZZMMHvMnG
2pf78tH0KemsrP+mJdR8LcnpAU7sjZUeui6JcFG6pDnyI6ybc10vjpKgVmYe3s9uS3IdnhkHQ2F9
6X1l3hskKLhFdoX2+oCrPTFqeNvI4UU9atMhwGVu0LjTuvE8KNuTss8OmyCfxobcqkdVqEA39yw1
uozT0bwbssC0zwoJm9/L2KhJmh5sE21hLv2/Cet9viYLYtn8iVd22azK4cuq4pCtXohd4rtPPNTr
7H/7od8/6JnRdj3kMNqWD0mQzoKqLoP7+vXtlCwWmpdvLrRP7+npDf/uEfGSs6N54NmatQerzaQN
7+AfxxdXyjgj1Wn9bUi4zh7VHORwbkRPX69bCb8bhd9/wPVw/v5nfv0JwArWlL/Dh3/+Y00KVLjr
/uWR4DmvhsLcI1sYRERnWJ8/6oeh4HuKqkBL/bOfsjODADv2f5kObwfB2kOIYENK1NZjwEd9Mwiq
uqcyRpawJN7BMYDY+b7H898sibdjYIvwEe6FolPz9sPLAARP7fr1alm/1KsN41dbwu8n+qcvBpHa
vvViEMCJMKlczwNm1tuhAEGUYYoqOiyenZwI6nqVriUqPxfpf9gb304EZ0+lpMDXi2klvhjW94NA
R0cXbPQdHQSRnLPlTIC1JZAqQ37eEeh4vh0ElUAeRA6Ww3d2ciYI5/ItB8Hcs3DNMGALb14OHJOW
DWJuK2ty+u7tCfJ6im6xHCAAWEJZo8Kaf/r6cDboewi7NM6GnT0c3ksH/pfDAYGR4xAEuB6EDcsB
F37Yj8quLgd1+z3B3iMV1iEW4Llq3LQx4nKtgESsv3Z1Z9j+jLD3LHAgODTPn/TDQUnNgG8OM8J8
OkN2tWaQ12t2i/1BQ81KwaAjjvnF0kB4w2UDxs+uDsLzxrXNIFgQo02AQfN5k/ywP+BYSuPZUlDe
iK9dHQpR7Gx5aNrChkpFxQzEKb5EcfX6bglJx7ThfGNevqv7w/a3SmpI8RFNQmI3D4II87YRewlF
9G6WT9ufF+wMqOoURyQVvZ0CKnPEhhVq7GrJILQD260DPIotm4sSmv33n17fQ8auwaZ83ix2dAZo
25dN6h7+AniBqe/3QwXpB47PyD+eb5o7OgbKeqPe5mhgDPj8aFJoWYmv91WTYuwZ3DGwnt7tUkHZ
vlQwaTOp7AkQo14KxDf7giLODseEX7OrVbSy/flo7KEfEeXS+s+9qfcq7hoKbcldXRTbbwzOHldG
ctLhwD59fSgS1D0C1hVoubtaJOjrKbrNzoDBpk4UmWH+ahDgLGN/L9Lnd3QmCLvQ7Y5JzdwjDO/J
1WY9E95vj+j2ybvTMX7Y2VphPUW3mAkizwBaOjYC6zH4cEaImllEXNNv29GZ8FzMbzEIWNHSekaK
jcPR0xdH75vTARACpyKMZHf24vAMEW0zCDoyBVXVsNPZfJvmiBQ7AmHn6+vVrl4kn/tg2wyFucc9
kisCTejN8wG1h0nTDYxyRxeFKP233B75c+PVRW7YL6pHgcyxMQhty64OwvYHpUYJzc6ApO0XiwL8
0kCgBkN7RwdBSH22nAnOngOjnJbjMxjxoQ8v73FAOMj3drWlIGJ6thwEbQ/LPAPC9npL+Fg804ij
8QRYv6t7grb9NcrGPxCpGjlz6+XwYSaA0mKEgBXCbjcbP1g6/S+4DLUjH1Vmzr8tFoCtyDpQ6LTs
6pawfZeRRhJNRJoozxXT+9qZLgtm+zKgza6Owbqc3aZKAKimw6SL2Mqnr/djwP1BdaD3OM66jNjZ
6bB9rWDRcRRyIrLK1l/v14TwOZNx/RSh32zEuwdXC3+1LU8IEWiBvBfy2i/mw1NP0tSpG3d0EJ7/
OtstCj4evlMv3dUPJwRVIzmzbJy7uhz07QsmXcx2wVD5NXsDWrcmvGlflstOLopnkGSb+QDJUcNY
GP/D9aLgr/7mtITIgmMEgkRhF7GTg/A8UbcZBErDtZHFrzBaZU8MAcSuXS2g9e1rRy7VFjnUsoj0
EV9czt7MBNFkwfCAmbKzjdf1FN1iJtBuM7Av02zMuZ++GNb3gwA2hUD3+QK/gwfl1o1XwevCC4OP
+MJh+TgIJr1pgx7Lru4J6zJmi5kAeQWcRYWt8HxGfFgOdJ9FV3J3uZ4iTHe7konlAPZo0nf8xUEp
ekwck3B41jX2rtYMz4fXNvOB2wTeSZib/uKgpBGv2aqioLPf0UUh5P/bzQcNQqfNvVL+FdnxqVoA
zjafKbb/1fb4X/zQT53N1A/ihyeFDbmrm4Q4v/qBF8b9x++/ko48CWje/KRQ3KxffC0wEf//X28E
OOrTZenVd18uT0+v9Pz7zx/x44u/ebGXz/XyjwcYGy3Le394+sbw/EbXttb/jnG3fli+F76INujL
v21QC72uEn7/dLwcVi8P+lNVI7Ol/PlR30mR/uuHJ8uHrHx50KuHs3ts/fBJU9eb3jhvbutnT5fx
suVPUr0869V7Z9Fv/3x0gpuMVmUW7ic8PK3L5R/TrKo/zBr6H1QNW7/EbBX/cZaVG8efmnHr58/j
P2ZZyeR5edar8eceu/XzF+WqSjc9nLN/64fvx6s0fXnOqzf+Gcv1oEl+ZPFD/fHxgq229Vs/TPJV
GSzjl0f9+e4FCWr7xyP9f3nMq0d/xoo9XpUbxlxQdbZ+18dB6m3YCITucOtnnyyjDXuYkJJ8wqOr
arVpTD5jgZ5k1R//Tr1VvNo0Mp+xRE+XD2zAL+PwarZ8xhIVVtebhuYzluh/sNF+EhZvcWCfrlL8
P4NNu5cg1289bU5X5f3q4eVBf467IMhv//DfeJduPTDZxjH5jFV6mqX1qlwNLyPwalQ+Y6WeLfMN
E130HbYe8LNVu/xYOxqy4BVu/fDzcskW8PKgV4PyGUv0Il7erzbUjkLDtPU7vyBmcFNxJyD6rR/+
JaB0rIKHDSMj0O+tn3+1vC+5EqT1hrNUIMuf8ALpH5MVjnibXuAzTtSrpXiBMl2WDxs3MuFK/Cmf
YhasvE0f4jNWrfgQC1bAfVDdb3qNz1i+4jWOsmXRbDqttM9Yw+IVTpqg+uP8R1Dlmz7HZyxm8Sqn
y3q16fmfsZ55PmFQk2X5Y7mpZhBA0mfMJ15jGm9+hc9Z2OJTTMtmfHm7f+6pou2//UfwlxvvhPqn
LOrfmTNve7hfBVWEO2PzMgivBuZT1nIWLzdVD4Jluv2oU5gkGw54AXRv//B6iVdtvGw21OGCnr79
C4g2y4ZzWOSFbv3w65W/3DQ0oqG9/cN/6+q67Yy8btgJNhzxAqnd/q03NIiSTX050d/e+vG/T6/d
dmR+k8O39aObHxsWkvGfV+mmtuxP8svHZu2LL8umX3vbixY/cR+vluW//g8AAP//</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A30928B5-A6A0-46F7-BE46-A8B6D297C39A}">
          <cx:tx>
            <cx:txData>
              <cx:f>_xlchart.v5.14</cx:f>
              <cx:v>Sum of Quantity</cx:v>
            </cx:txData>
          </cx:tx>
          <cx:dataId val="0"/>
          <cx:layoutPr>
            <cx:geography cultureLanguage="en-US" cultureRegion="TR" attribution="Powered by Bing">
              <cx:geoCache provider="{E9337A44-BEBE-4D9F-B70C-5C5E7DAFC167}">
                <cx:binary>3H1bc9s40vZfSeX6owcHEiC3drZqQerk8ylxkhuWYiskeCYAHn/910qcrCXLWaVqdfHKM5kph2qo
yQdodD/daP7zsf/HY7Zaqnd9nhX6H4/93+9jY6p//PWXfoxX+VKf5PJRlbr8Zk4ey/yv8ts3+bj6
60ktO1lEfxGE7b8e46Uyq/79v/4Jo0Wr8rx8XBpZFjfNSg23K91kRv/m2s5L75ZPuSwCqY2Sjwb/
/d5fZvJbqQq5fL95jfz9/t/ZMl89Ld/5ZVOY4f27VWGkGe6HavX3+41xyPt3f21/3SvV3mWgvWme
QJjyExfZLnEZ9b7/8PfvsrKIni9bmJATwonNGYz841svQZU/0ui7PsunJ7XSGu7s+/9fD7BxG/A0
/v3fn8Lj+mmsAYgAi7/ffyikWT29uzNLs9Lv30ldfn9cavDL9a1+uPv+bP7ahPBf/9z6C3haW3/z
AuXtR/vfLm0C+V9AnmTvglItn8oDwOyecOIxhzyj7HnbMKMT7nnYdh2G1j94E+0/Um033q+H2APx
10JHhvm/c8BbHQRwCosWEdfegTQnxKPI24X0/grthnlLfg+MtySODOBglb27LGH3+N9jbOMT7tic
E+y+YbvtE4JsCrZ7y3j/kVK7cX49xB5QvxY6MrRFYw6BNPVOHEyojRz7B9Lu9qLGJ45jM4zJluHe
W6HdKG+K74HwpsCRoeuXWaMP4YR5sE49Qhl2vptkBMt12wlDyKXMs53NfXl/jXbjuyW/B8BbEkeG
8LzJv5bZkzmAsQYHy2XYtgnbBtc+wQxTBE74j8W9CfGfqLQb5Fcj7AHzK5kjAxqCrWW7Ukv9v0ea
uifYYwQTzt9YzeiEuev1bsNUeBlT/ZFSu7F+PcQeYL8WOjK0L5fVIcy2e0I8iI1h0/0BNN1e2RA7
ux7s2u6W/7WvPrsx3pDeA96Nzx8Zsn4JDMAaW20OgzBaO9eUQnC8/nnld5ETTCFo5hiubCzlP9Rr
N9I7724PxHfKHRnyFyv1CGyPfwBGjCLmMZc9b8evMEcntos9jrm9K4DeX6/dmG/J74H2lsSR4TwF
2rA4BCXGTjjFzHEw/rG2tykx7IHH5sA/eMvp3l+j3Qhvye+B8JbEkSE8y1ZFcYCFDEEzQQ72Xnvc
YLU9F3PqbO3Le2uyG9hN8T1w3RQ4MljvlsW703JZN/IQ4PITzwH2i9jkDd8Lg3NGbOBLfsTUW7zI
Hyq3G+9dg+yB+i6xI8P+fKn16gCw27D3Ysd2vWfU0SuXG2IruGy7DBJZLx2y/TXajfWW/B4wb0kc
GcKLvFopucwOYLcJpKKI69j0jbAKOycO7NsOhvzG+mdraf+JZruxfjXCHmi/kjkyvM8gGX4IsoSd
UCBKwFA7b3phDK5BjL21oPdWaDfGm+J7ALwpcGToLorhMC62iwg4Yfw5bfHKxV5TZR5jrrsVPu+r
z25sN6T3gHbj80eG7N3yUUHBRmEOga974nDmAQGCfizeV8Uj+MT21v9A6mqHpf4z3XZjvWOMPRDf
IXVkuJ+t1AH8L+qcUP49D/lj613vvRuZKgia14wZBqO+6X/tq89ulDek98B34/NHhuz5Mj1AMQGk
mKFUAHMEhSHff3bkID3sYObyrazFvvrsRnZDeg9kNz5/ZMhertrlQYr8IL/MCHcpes4vv4qaMKxa
SC7b3ha2+2u0G90t+T3w3ZI4MoTPS/3u30W0ylaH8KXtE+QQQt2fvvQ2c40hYWVTqAuDZb5jO/5D
5XYjvmuQPWDfJXZk2F8snyDhfIB4mZ1Auhm4TP68urf3ZIJOEAMnzcbgf7/kRPbXaDfWW/J7wLwl
cWQI3zfZUh1ib4YgmSIMnNePks1dXhfxIIjCDlj2lwjvr9FuhLfk90B4S+LIEL5YqkOx2dwGPhs9
12dvW26owncoBlJznYF+CfDeCu3Gd1N8D3g3BY4NXUjar9RqOIiNZpxxTtFzTdAOD4w5zGZ0+5zF
xR/o9AbG2yPsA/O2zJEhfaWW4IUdAGcK3DWconDZG4W6GM7bOFB6z7ZZ6/012o3ylvweGG9JHBnC
19nycXWYgxWu9x3j5714x0oGvhNyF+QXof3SYO+v126ct+T3wHlL4uhwbuAM3wFWsnfiUcbhxNRz
ecgrbhOdQJrRczy6VR5yne2r0VsIb8jvhfCGxJEhfFcWZX6IuMk9sanHoILzrT0ZEpEYNmWInDad
rv012o3wlvweCG9JHBnCtxJKsbV8OsyG7LnIofSZr34dOnFgtDmC9OJWcPxHSu3G+fUQe0D9WujI
0F6Xv4gVnNU9REaKgXtF1mel3kgnE8hIIYLgIMYW0/lnWu3Ge8cYewC+Q+rYEI+XBynPhmogh0PM
5NK3TlqQE+pi5LrrEsCXXtjd3hq9gfSm/D4ob0ocG8Lf17QqlupJHqRYF85IwQE47AIP9v1n2+uG
uIrASQvwzLeA/mPF3gB89zj7AL9b8ggnQCBX0SFs+nc3jDtQE7adbOZwcg4WuPvT2r/Gfm+d3oZ9
c4g9Ed8UOkKwp8CgPEr9WP585v+bZiTcRYgDk/0rdt6oLgAaFOp9sePSHcv8l0b7BINvw/16mD0h
fy14hLBfQG+VQ6xxDmdqoJUBBNNvVBLBUTriYqgl2qr2XHtPeyv1NuqbQ+yJ+KbQ8aENR+rEUn1d
HiRraa+X8jqj8fbxG+a51MZw7P37z09D86P/EOD+Z+q9if2OYfbDf4fgUc4BH7Kah+BfIPKGWgSo
N3rroB0+Wec0oSxli2H7gf3eav0O+c1B9sZ9U+w4UVfNuM9O+of9xqBYgdvYRvh5VW/7dLDFQ9Mi
8AK2S5GeQd9Tq99i/nKM/SF/KXVsiEudyqFs/vd4r3sUUXDYyM/+cuC4bbt0jMJxDqhQ2TLwf6DT
G2hvj7AP1tsyx4Z0mS0PEqBDaZkDic91ivv7z6siJFjXtuc66BXxtrdGb6C8Kb8PxpsSx4awWRZS
Z8vmEEkxDqfrEJybZW8VCUMhKVrXGPKtOhVoyvgHWr2B9Osx9kH7tdSxIb5uOnaIVLcHzS0IgU42
zy76q70an7D1qn9VNny3t0ZvIL0pvw/KmxJHhvBH4K6bg/jg0CHQBWIVvdXgBM5zQKtIjBjaWtB/
oNJujLcH2APkbZEjQ/l+FS8PkeiGNAkclWVQG/5GqL3u8QuBNvQP/HGseoti2V+v3Uhvye8B9JbE
seHcQB/BvDhEthu6IriQBwGL/IYXhiAhRjB2yZa3ff8HOr2B8vYI++C8LXNkSH8us0OQpe4JlJIC
FYqAF9kMpiDa4nC8A/oJbgZT+yqyG9oN6T1g3fj8/wFIf6/ixg2vW3j/++ez3ZHy+PP26wT6tjIg
QXcvWNh/GYYKJQyHN3awoNC571fP+B/57V067Ub1pezGPf64xd8/lMM0V3+78fqvHvbB0iwn37vf
v+i9/vur328fuvZviT4XBOx6YM+XFk9/v3cgIfEC1PUYG5UEL5/iDwT+I7WCsoe/31sYQ/Z6fSoL
QSNmBzpKwYDd6sclAjT4+lQehFUuzIJ1dqOAbtHx3+9tCJgxtAyF9vwAPfR4BgdMl836El2fBoAB
IVnmQu0DHLf99WaC6zIborL49UCef39XNPl1KQuj/36P4TuqHx/7ripyPNj44WAng9idQkcdsCrV
4/J23fABPv3/zEjLqm6a/rLoqDdpuzCuREkTnvop79obZjnDadK3RTpBKDWfTWm3H1Jb97XQXlE/
vHh6u7SBusptbSCPDz0hoL0avJhgbcleamMXQ5V6cdNekrrAl1E6FqFoeMliv29N6Ym2s5vPvK0s
KVTumtqvE5VGIhw1t30o3S2ePGPQFYwRNwHJMvxhdCwXzwbmhCs8WLif/l5jAtWArzSG6n5oSgMt
iaCNK9rSWPIYsB3MJe2dKApYP2YfWuBC6NTwoXREO/Q4CSQPXTFyNkgxpIjO8lYNOFBtaZ7iXmvs
S6tyAg2vnWiFyWPUCq6cNJpEZRJfp413mmsv1gFUwngfdVyfpVnn9BOpLXYhVdzms9/f1WsYoIgZ
QSMW6B4OSfbvN/1iUvDBijqryvRlYULvYxm5mAg7JTA1qqLpr7teeXdViLNPv//a9Vx7ORfhaCL0
UuQUuqPCWRhC12q9+FoH9ZFd6ai4LNwRX+I0bi4LrXzphvHH338TLJ9X3+RBKRiHXkHQzc/dmmdV
YQ9jreLy0q2Qvay7UmWz0LgDEWkVT1DdZKNP0eCWfkKdLv9vk2Y9KTZvFCYK9MawoQssdP/d/nrg
0WQcFbm85HXqLPOkcZZpttbBGXM9YaosxYAA+lmX1R0RdVrylck8vei8wT7vGVXIp11Spn7Ci/wD
VRWhQewOw6qy2ipA1phz3/FKW80dysZG/P7prXvgbevP12YDsnPwdhDwRjaBQqxxCscJrQvchPlS
KqMjga3UFLagw1BEp10s06+R61Xn/VjHU1bavfQJbvk3w8ex9Ic44r5dJu1KKsqfWqeK+envlbSd
VyBTm8IkWucaIHfscPB6X04nplyJVGzoRWLXVei5gfHicdabnnpT0zaNr/oa3bT54DQijmPuK1zM
NFHVLLMr4qdZnd9WmZP3gmdd9NAlebkYtDGicurqA9OpG4R1EfpNmSRSSEOTToSJLi67ytJXtTXS
SRRhLxHWGBa5T9o4nzvMZLckia6joaC9yBpeX5qwvjckt2jAWgIPUg4EbIPdjKNAnZucZ7Hjfg5R
Y5/GzMXnY9S3nt+h2M6hX/cgF5arhlx0gzsGuHOsYEz6x0rX5q5BFo9Flxs+DXXdLOyQkPs6xl06
C7mFpRjjNPwKOTrVClnU1pcm53lQVZos0rKoFrj2sifZVgzWPc3TO+mFPRdtbUenKlSNP8BzmGGb
eFd1l/cTu1P1FOMet5MMmqZGfttFbu23JA4nuaYqaCrvKg6tCAUYl2YOWw3p/AIlTLiGZ5/6HMVn
RHnVnUONM2u8xCJTzfJx6bJSTTTqk3Hapm40tfoeLYnOum86qirHH4lBjSgi0kbT3iQlLI6umwxR
27hTVYZxkBmazwv4qPCYrUp40HnLRaKTxPJ52HHBS6cfhW2y0KfGKvKZYukkspsB3XQU2/AmH4Uy
kcBMMlNqOk/Pesr7c5aOYxbeNF1t8lwMMhsK9RSHMSHjZ91ZPc9j4Skw5eUjGfLEUAU99JumQpcm
NXnan3qyHmet15hwkSspK5GQrLxD3KKLZKC08RvAIBRDjbwe4MpdNyjCEPZDk6VdPWFpFyFfZQaH
V3GNGC/n6cC7OBj6zDPnTBsKM6oLS6w7v4G9cMqsOAmvWlg6LPJrt3JhwtFU59Mik8oTWQ2bVzjp
W8l8KwTP1RFDiAobevCGee7HXtOF0y7jWT7RIXgFU6eI8tF3RwcsZkFSu/HzWFmZaPUQ6WstrTyf
lJF0v1lNyyUKUEnMTNpu4146VhiFpwXlhjuJX/S6Hoe5hlyRiidVFPN8Eup2rKee0oWcDhnLhznS
Oq98hwyZ9HnvDNlMyVpaPsBKHqwqH3EA5eBpHsAfZF1lCbI0PPKieEjy3MsXVHkmm6SxYbdjYyid
JlZJ8FncxZoXgsckNrNQtVVxB5sxPU2ikaTTpgINJqXJonHi4n70fDcZqu4idweY2hYsFRWEGDen
ijpOFkQhjZqAFy3AKbkG/6QYEzqushROJAQuKJAHdMjjeoGRtOeR5CnzSZrWNJClDIOxCVNHWJ2q
vOsk7BLbp7JORpFXyWidoTCzp7gKIwfU9Xg1wUM8lotY4i6apJ4dd2L9OYE96RUwfSJa+30nrVGY
XlpfFDSDGiwhYR2RSzwWcpTCbW2L3g9ZR5pLVnlDGRRebS6cpoAtKdI8BQEvp/C0Qhnj4vOIsyI+
rYc866e6c0Z5hk1k7u2EOEunD/NQuBgm77Qpek4nmo0SlG9wkgcZrVPtu104kVjWn7OuA88iiZL2
Tjus+1qpmM5b3kXhxE0dREThhjCOk5VJPy1Uiy/HvqL2jTYOvsfGgk90zNKub/DA+0lL8kTOVU9I
tyh4pMmVtLj3sUD1enImSa1nPNOxvu4H27g+qjvAJu4KUKzUYHTPYAfzPlIXwezOwUqqAFoB9+XC
aC8k14lq0vSWuIVnL3o76ZoL05u18xkP/bWTWqyflF0OX12W49iKnuRmnKGUr29+rXoH9gn0qnJ8
aTsF3EVTO/Co4rRMR99LW1g6VRal8qZQHJa8asAriOAa2FRiiviqxvagCkGrGAHcneqbi9yKKy0k
aup+2sPpUzoZ2pqsjQYsJh/uCAxI7+G1n2yK/GMIb4g6dVspXeHGTgrzYojYsisoqNGrZLilpkf6
LAI3NzkrqyJN7lzYLWa6QPiy9qL6M5TXs1rEdizJaelGXnMWxmXUBoPidQcO7kBnFYHH6iNeD49p
ljrXfaNROa/R0KYPHcsjPc9DK/82jN7ahsg6iwOIA1w6kWSI9bRiufdgoTCf5l0V1YLbYOYG1cW3
sjT6zMvTxAkcokgEZg9ekCPamHgfVWK10SQjBSyT0Qqpt7CLEterHAzycArdYGFtdGuLPUkcC55o
347tBDaZrj7DqiHMD73MtLDT0haB610nX5TXevfWAG766egZhZ+MLgYtcox5u5AdgaH6HMejb3cR
ixYVwNL5Vuqx6Vi2rbnoB57dJa2uhcv13M771pmPHQNwUoT1OKuytCwvCtbb55ZBdjmJ6yJvz6Kh
q2LfdXQe34Mnop+QV4AZAdOpW5HGutPC61q3hl1gqO+yqMbyEy5H6rZiBA9s+FAZankwmA7VJOZW
Gp1aYdV9jSNktX7GNUsX0kP4ptdWOM5UU2s5kWMDk1QSk9DrPs1G5zJnVZaJumoRu7BxbPf+AN6N
nnRxBah1biEjoUaeg+3QOpvgnvYqaDPiqtno1jD7U7uPeDCEA9J+WGlWP3TOgO+TWMFcg53O+whz
PdfXhVdgMLCk8pKpm8esE33zmbhN52KRpi3/4JCi7oLOiYx9YYeZ297WofYUbO4woyeVpIAmBA5D
fy6pSctzrqqYXpMeZWwR9qUH99X3VnSRKqvqglyHYDPAG2vMRZaFoL/y0miqYzeNg65HaDHUNqz7
gTEuhR3G/OK7V/rMXVz/cPJ/BOCPZTUoGcXPbwf89eu/7ssc/v3+orn//OX65YL/+e3i51sJf/up
2apc18Pp7Q+ttfk1FijzrN2avtj45RWV8gZZ8uMlh29cfJtJ+dVfec00QDtP6sCfF078Ljrlx3s5
fnJsm4I/GZV1S5M1IcYYBKnwHwjefjEqcC7Tg+ag1MNwyNpZn6d/ZlTgxRzOulEddHcHswd0B1z6
yajAsWxoWQa57fVbdqA8if0JowJczFZ0tK5QXh/yZh4C3xd6xW/GHUXktm3WuuUVQlk0r6JwFkeW
KxTtzhreDn7XEH3eN6ScUTTSmdc310ViQ8BZ5F+VTcpAW3qeDbEz8Si83zDqGBWJHdd+E9ujSKyO
BLFxLcFrNgZW1+fXdeQ9xM6o/FZR6vdoPIN981w59twtPTCXVjyrh+ohdKPSH2v3YlSDmfAybefw
csvTKE9qWLDO6ejKXEQ2v2DE/hA5VSOMdG+8jqdBoeSNQWoJhGYB5in62OZOJToIY8Fx462ftuMF
K/hDH8L+jin95GXlA+vbMy/F5x3P7i0nvzBuV/lgyj8UKkTCwuCSh90ZH+3bokimOLI+E9n7UR1N
Daq5r1V1XvHyE7y/8pLGeSJip5+1vVMImBRLk7laFH0WC4ubiWRjLHCfZQFVPQOftR4mrls0k7Zt
B4jK8ivV9eBPRHRexkSKvmsuu6xtRDR2eOakZpqw+rZP28R3Ulz4Fhmvacgeianu02aYgj3KBY2K
695m0yHOFxK2dxFyfc0a/iGuw2hS2cMnJjVEgp1TBUDqpn5WyHJK5aCDgvCZUeON6gs+xXF22uNs
FY85bA+GfGCxwrCdkdBnpXeVtJxcZiGf9250V1/a8YI1yToUPGNDkviQ051K3pbCrsF0mzGZGGpa
MOXup5ixSDR1QURWyhnOi0KkefmYclYGiRkSQWo8zVwwzCiaDGaYy6FNRJ4nX5WiKzgPvepKFM2j
2r5cb2p9W0dARLT5JBky+yN1UvDfB5cIHkq/LOrT3GGLzMHgKcZT5UbpFEMQMRn6nvgkYsPMbaqS
i8JpzKRrrRtZdU/emHbKd5BMfKTq2VjbWnBTn9pWTfzaruYeK2NRkjAB54+7ARzQnRMrKmal6pfg
3t5LVAatzifIID+CqQvzyHsoaUv9uDbtXW3jeiK9qJ+kvBlgIkBcj8cGT0xWJYI62a3XAk1HQiqA
hFkUHjsPW41FnqokyKIE1gXPmombVHhK65IIeFsEmloZzXwE++TZQIqb0IofadTZNybMb11lI7Gm
ZBaVhnuJTQd+wNhMtF1mIkLjVVnCSknyvhc0rq5D7pzHOUJBhRJbsAQeYMG+GINPdXkjbbsSSrnX
rpuHi56Vl32YdaI13alHyidbZ5Woh2SZ23k14alOA6u30qAaYX50Tg0kXe1EQTxaMzr4yfiFRPSp
VedJstBlN5FlPfh1CNOgzcPlsHZSyVBfhGOKRUGtu76y5wWOLYg2449WlK7SBpYMKUqY25Uz1V69
yK28Eh6wLrDZZ/dAfnzz2rLzox7mHc34zIa3y05s4HyEVY1GtFFdnFukdy5wkd9bMq8v+xaCCQj3
kwn3xjDox9bymzAs/UihEpzx9qJVqSsgGktE5sm7WMFsduwIL1SWxBM7BMQhxACibhhvyrBiAo8U
C523o18N1i2tVRMg+CYRj3UorJYBxZCm4bQdTBKUtbHnMeDV2vFpChG5aGh9k9v0LCv1HQrRfejI
MsCkPQ3hrOmEjmMvhS6VSq6qHqtPqefobsJ0wRJfN8lZ07TJ6JuW5mQqu7AI6kTqz64Xxfb5QTyH
/3s+AQF28ddri1/5BD9b4Lx2CdZyL1wC2NU9oI5hh4dyBmDpf7kEGIqOXTgkyhgUmoJj8B+XAMqR
4WVdkGwAtoPDaD/9AQfe/QHJAuTZnEBjHviin77PhoMHWaXn319mWPi6DdcGWwpdItZM6fr8IpQ+
Q9X7pj+QV5ldDtDf6TKnYzutUGgHJeKfuRtNSt48EMM+pONNOLQzMM8TUrs3jYk+hNmYgtfNqV/Z
aVAXwwU7TyLrkXbphxxCnABTlcwgIvzKDHCSQwdBSJ7MUVR0ftWUUwer0I/bBKgFhL9YRVt9xaaQ
goJFmSS2DKdjnMw7qdg8jNRpAZStSGj8kDvleTF4n0fLiKxyld/Jejkk6Y0X06Vi+BOsYOIz01+Y
Fpi2AeLXoKrXK2GIhJOX7cOA3C/SVPKsqHA4AUqSBahKPqRN9gUNfFzYebQItVVOmTvOx5p8AXN+
6RXKHxi/89QsHdGk9kolnKT70MTysyuteYfKB62s6JSTKvC07edFe4kTNAWX/LIf5CXwpX49qFQA
R/FUVuYKAoRa1Ky79GRHRSnJwi6nSW1EPJQ+IXdRfaH4tDLp55rEtQAVZ1qPTBjcBpmdaWEcFftp
QtwPoR2K0tF63jLgVMKOzpLQOmd52c1LA95PKJtJVya3EOicM1SOU5vFlg8mcl7DCweVFXeBIboS
sUJALI6x77TN9eB6c5QgJhAQabO4oCsjpX2aFfB9WeZrJxqFx9VXNA4yAFrsPAaCt9TJsmehJ9yG
n3dGXmWVd5lXdsASxxblkJx3UQxEJg845BKEsXsWZMhpRREPNTg7Ze+zrsUiS+1aQDiofSlN7kte
wWSTwPaZfLz2DF86lbWILGmmjSZ+iKxBEDLcdJxpn2Pps5o+DiSpfbtObgucJ0EMyFkV/eCUnajz
TE0QZM3OawsvMre8qJL+S5v3H2Otv1a12wFTPQDTxVgpyqRJ/EHhPEgTswAzDft7nT40UlVidLnn
yzi/CbVNwcns5zk25VRFtBDjANFiWi4oAV8i4e43wANYi+rKVvE0ZWjm4AwBG5mLqgWfZcjoXTIW
XzIszwzuLsqRQMxsitNQm3ME1D7Jm1FkqFq4rfs10dHCi6MZ0IqZYK6+77S8qxrrgyzZAhXlaaPs
VcnYIkXRlYWKL4XOPrC0hoc6duc2VWe0KS+aNoVsQdrfZHk760N5bjcsKMZuXnnlAit76gz2vI7i
08hGsPEP9KzKurNOo2tg97NpMwKvGJlPHY9boe1xCpmWq6rJgGke+anyyK0jq7NUtnM7HRq4w7xZ
JC25spG6iCp+VVTto5YDF25E7nSpH6KiPgv75AICiSCOhtsCZUiksOjTDJI0nXyIUj5zonKeM+ku
BqeYsbaLYXaYC1p40ofc3Y2dRAubkZvcakPwb2o/btSi9dAn1HeZD9xZFnikue1i57xRbQSkEOQg
ijH/BHTrnDct7NImIP0I275bXNCMfRldb9ZZ3cR43TST7edCNXPtoG+jjhohJZmMOvwkIdwDx3ME
bv6WSDP4mdtlZOqWDti+ntJTy87HiWLZmRc157aXLnrTmLVzeAa5nSu7zc5CIFdEUkYXXWjn4CMW
X1tpXGGp7NJC3qwuvUsFnBfQk/00rxGeSAd/lLg577H9QFPrEofJ3biGkLrO1wr3sBqjCSXdGYQu
Dz1qryjGlyjtgxiI+IkauiWx2OjLKpKwTqqgNoCFws60aCI5q938S0XpxeBBJGGkmqdlMksLYCk0
wx/h9RenNXA+cZwEjrZugJDHPrHvedRMpBy/Jhm/Gx0TnReQhFmgKLyt8uLCKlAowjqb2KPzBVds
xkkobNo588QwewKkIZmnvQ1rOVql4BAJXpTobODDOfBaBJI34OchSWe8dpSASVH5pHeVYBGa67z5
pDt5Vxfj+dBE96HS88IaIwil3I9FJ2dwz/fRkD2YOm6BIL1O0zRIUOuThA1gVvqZY5dXnYnAgx91
4LJ2bmXjzIzuQml2M2Z4riIPHg2+smrgOeN2uGkbcgeJUXeCcFEHrupS0eLupqLsQmew308ybZFs
AukX+dHJpQHjz/gZKUIpcjdrp3HNRF6PXEi3hdU5nteSDwISg0oMQwVM8TDjUeFdu7njity0xWS0
ZC1IW0sRtW0vWnhlbBvB42QQoMIO44gYGhUEFcl8IJV853sWy5JBDwkmUbZee5pkfS5qa/hWKL1w
YBWDo1qkPk0UFkz27sTJsoe2jAhEUkwFUD1QQDyouSXyhOW+yqPzDpvqqqix+ZRgbmIBgb01bdzO
udFdMZ5m7lhR0WW2K8GRt/Gk6sbs/7N3Zst529q2fpXzAkyBPXC52fytesmypBuWGwkkQQIkwAbk
059Be3lF8fJKKrvOzanKXVKy9DckgTnH+MZEBvXvYvb1aeqqG4+KXWBRYXvrY9sXd7zX57GHERT7
MvUaOubS7Z+KGa5LzOdcu8Ykk7D7MSgEVNHh81SPqSvoc1D4l9O8YJOpsnacdkMRJpVvHjpClozG
5SesrI/E14diLq9JaF+L2j+3K74mVlY5biSVGsd/6tbwHFftZVE1fhrBYqwbsYNZc5pGbNF6GWkW
6eK6JmEGVfRuQF4pidv12PHoIrTVwdVrwkV3bNmchIoI4BSCp1HtQ5to7weLDUMtS4Z290E2s0xb
R5xJNR8JcS6RKU5RCu092x8BM+wdUR553J95N3yEvnRupAvbBjutT3eCdl+Kes1rwW9tgUphCbt8
Lcoc84vSsB9e25JdOFKmBjedteN5ZM2XyCd8Y2GOilR32qvzyKtSFtRL4rfRobTk3ginTwbpOClY
kGSJeb7qeVegDWVFTZKRmd1Qu4d29J4mGqRNDUoldGBixs6C0qKHN9v0WN3FUwM9n7shHD3t5Qzt
WTLy5uh09SNjxd6n6w2B25qIwX1YZvSvdfdRQSjL0J1UaIWqr4VWU2rhXeRD6V/NIbkquP9iyRDl
Vd2hu4r3NauOrCJsx3lxnsT62i3h1dC5+MRzA0vRw83C1RymM41n1FKdmxdLRK+Vq04yGHPV0Aj6
FLltAueiGeyaOtzfGePopAhLN9GGtIdyiZ7DuV7uGVaaTDT2wlo6QsxSH2243nZO9Ox5dbHrqv6J
TChfgBzshJmaVBp8alq4B7YtPT3sy0mx8sDRHaZhJy47OAeCO+u14+lz5/Ie7oKxWa/bt8m1BiVi
L7MA/7eIJXOn/p5XFob/2h7n2KuTZRgvVr3t2mHwZF08aDWhPNOWQQ5fAkAp1ZWAvxFAkDvG5Wou
ukJH0Jj9jx5vAD7o4paZ5plUaKa3xz3yJ1jAEru50JP/TMvhXnbBrTvb6oL5Eg5Td+QdefA4KhoV
EqhH455D4yCtuOg52Y9xoBMetm8jhaAA4iHnPn0QgzpVQ30WU4Q6c7a58Yanxe3vmO1lIrv4qnb5
VRvXuyYOlrO09WPfsOfA+nc4fEmdQ7+W+cgjtfOG4Hlt2ZEZ10lrUsm9nPCHHShFyq2GDKzMdKib
xkuM7LA78qAl/j2gJg9thNZOkNNmCbw6FX7k5J5bFWudvuv4ftFC/RE3ods0Tags4CCxx2MuH/mp
gfIqQuDpyeq67rpEykuz2oQF93/+IhgK9K5L+/Ei22woyJNggrYu7h18JAqrfceY6posR0deEgfC
YvAwzA9//jJ/5MX+9TIxTjUC+RcAGNvexruXKQhh6AIICnfvbVYfHP+vsJf//BjbqcTIYRE0m+HP
35VhS6RU1DbXcsaNdqDFp7/9/mMabIMR8UVB6f6Jd+OxLFY/7Ntrir4jvAnZd5kDjsSv2+U/iuf/
+f38dK2DSECBwlJ6HbR7p02Fu9NxFkCwfW3q7M8/yi9eCrhZBNAwCClGzPx0KRoKdW5elbgm9WHU
6UCSbpO/U2zDTvcXyNT2tn8nvr59rD9clu0Wf3fZiVsBOIma5rrzU2ZQ0aV4tLCmLtNfsGW/+lDv
r/9PH0rGNVMj/f5CfpXJMrHlDvvIthV3f3Gv/eK5xAQHl/gUu6PveT9hYH4oPYWNV14bkAE4ct3m
YfHlz6/RLx6X9y/x8+22mhC1UkjktaSf6uI5cP4XtzMsnwAMG3i28Jt28+661H0TDoHjyesaK6Af
J83yv1i8gEeCWoH642HCM3yn91deOhL1feSq6zX+NMdXo+wSMvzF2vWri46bOA5xbl4IYvgnx4mV
bSeBf8HkQOG3pLRP3PB20onqstX/izv5F69FN5YZQxNp7EJ/+uPnKQsKka0O5XW59dQQldNyyeM+
Uaix7r5d/P/XZun/b5Lntp+9ewr+Q/L8nwam7lfcyL8j5Zt7+v3X/q14Ypbhdkw1BdlEv8uX/1Y8
MfguBiFOfN8jvrvppD9MUESEEMT2gWwi8YWriB/9ED0xhAd3Dw74iTCWI2C4T/+G6Inu8A8LXkhC
HJqOc2eAVkAiwblCP92S1PKejbQcr2tIgSfasOBSS3umKGXTcNSPUdtCKx/EQaq4WV9LZXrndlzg
2PQrhAZYeRAcO5kMYrkdeHBSplW7voG95q4L8GjhOvuqmYIk6ModF1N5BIMHR6grggSUBC9TNvVy
18ZdM94vvHtmkP0SB0N/YTdZKEadZ4LTZJ31FHbSlkW60KU6jY3IFq9wDoOj3ziT6N4Bo+wXV4ER
dQU7NiOfHjucx3D2qkhcUl8CgdykIZg7OW0XsutcWmWTdkgWT0xmyl/9rGkqL/EiBmoCgoSI9ZD3
HI3J4A270HZXNITCM/mK7aYGxY1TDCCrSjkf9Gyu0J6xFGLms575xeLOeYnuyzPeJQn4eV7RIQ41
vNoKREhSUwp/2aDDwxVOeOHAz9IDfytmFb0saz0Vuz7sywRoKKi90qCO1uNdKfx7WhM5HjsIl8Nt
hXb7AF0hlX0ZHfpwMfI+GgjTSTkW8ZT4cRHsfXeGeRgW4Zsoxvm4jZjYj7BasrWVN0ttrqKgO8mm
vOqJd6aDs1NmPjltlKkVxAWqVALnBALW11l6d9XAnv9ZPLAKgKHADvLf/RLAjMPrz0vH9196t3RA
e93mKxFs2l6EEuHd0kHgTMcYpRj7AP+x+P9IpCBHiuO0AVMDbcDgpghL2I+lY4sJf3vesX+iSGfB
31k6vjky72qlbenYyjLkWzYoIwAh/8cdZuqsAVVa+tfGBiRd7XScl6DP3Nr3Ex31O+V7Y6KH5SP0
DT8zPPiifXoxsEVk4QaO1RZ356DL8wA3O5EEslhNdALZZMysma6sjkwWMK1SpcbPC5PPZQU7vG3u
RFDv5TKcPN+76zv4xXUPXZVhqcBz613IFlwmd+IPRjCVNtjXgXQVH1ZVfwzBqyYA/yCv2/Y65P61
O0c569UpbvqjCFf/uE6FTkfh0XQq7R7Zltyj3RuWr7tx5uFJghMBUPSZVkvCzPposeAlwoPT6YMN
TaKglZnfFSmxakzjrnyc3fFFwMhMS1EevFHJpDOxTtoSkPEwDRK6o38l2v4ErR96kdZv/YT+2zpq
SNeGXlet7tKZ99d1OHUn2w7gsKqCZ3GrBFAzzVMGWfHKRIpA3B/hjPTB+ka9SVxNQfxlrfDlotsu
bz1QXklp9Cu6fnZZq+YYMgeUldctsDUMvTaVbWGrz7hqUJ4TzQeeitZCjOWoT6fajfbVZDmEOUBy
gY35LeG+u1+7mic9r5qklT785XlWSdX6PCdLUx983za5A3l4X5dbWmNF9iCygF2Ign5dFG7m2oUA
5TfVDup6sQtmv8l1O3j7QfltLv36AsvceR3qayHd47DwNata+ob+NUrquA1yx1R+toxLnbtFvOwF
xJac1CXFF+Gi5tE92w81nO/a6nHPPKi1LdeIX4BtvZNzTPdjF5Y5Avaw5UhRZMCC/MT4vnPboL1K
2hWftLcR5APARDvKnSGtl5kmi+Jd7oCYBQInqhOMp3nPvfJh8czNOBKZlw5dEjV0n1UDNaYqI1Da
PQtOHTN+wt0tZbRuX1HlyZfZhPUHCTw4MSWTh2VEpMqzXCVNId3rkJZAYLu1gIQR4zvWznigM9i3
cg5mQMxj9VW0VYy1Oi7yibfOgQz1bgybvCgkQ7YA2YAW3l0Ci7VNaFCPiVPPNNNd26QR3Mfb1bW3
tR3vorkVUClqmEeN11whYDAcwKC+DXL9DMut3EFjGmH5N/qyAk+Y+ptzpfvoGC1zcRE58bSnhQzu
PGd8rJganIwMowVb5VnXTaqx+zLjXcEggAhc1k1iaNnvnWp5cB1IYbbkUUomdpKtF+XzvLgJm0bs
5mZJOkRSwNPzvJLSgY9ADpXvf5hMPaSoIx7avj7FtbyZY5M6Tnxpwpci9s6jiqanRTSvczRc2MBx
EqmR9KLzOF+MwBcOjEFfr3QloF2SCw+vVnbleZqCtx7sNaCU5pLMxE0mFj+uFNGZql5pMpj2q4mR
pwFuf1T1couI4sUYVsh6lJOfyZaqvahc8MVTGWZ2URCpqxi2Av65NF6XxsYPd8uCS+iiSx8dft/Y
4oWo8bkLsDxQ0k1ZLPS5mt1PVkBDN8JHVMMovnNHF7WMj7xRoPOpNpvfAuypMdOlofPHEf56FjvB
DbMxTVQbyyMNQ/zLgYCjEA2snUGdx5ocgGnKdAqKXU1Uf12xYUlqoPiJY1k2WP1qikgk4VRlSEpE
zygf2jBX0l5Kb/iigvgox/AJdGZ4rFo3qfX6GZkSJCeUPeBDN7vSQ9qjddesieKrssYqw5STeHpO
BXMUBEH34PTRYZn7rIY5mDjVfIuM5EXjGR+CavN5gPUaS//K5d3eCfo9R2IC1zS1jYv/Dz+VtKpS
U41vpopvEMEacgjMx6ENynyMm9QJxC0odwd7wZg2/nIuh+a2ZU7mVuVDg9heGUlYXY3MxrZ6aKoh
BWKsE1mYOGmX9VAgxVNtXpmxUI69FGX8azHKJcE+5ix7Qz1Db6pWNCmP5B2ptM7/qY2+10ZoM/57
bfQ/7aevSv+iOMJv/bs4Ir8RKDVeCJEL59C774sjzDdCRRJhoNlPbRX9DbAIwSltIE8jFC8om37U
RhiN5cYQ+4CXfqub4r9VG32Lk/6uI221ESIHBAXSVqVBqf2pNlJduIpwKcw1afwHAWbJM+G5Dcyt
sChX5g1r4gTLshsc6mWps3ZDn4oNghrsWCSk74DUL1jZEQK5IwEWvrKL3WQOhigxqwvGc6PIGP6W
jFWZN8DgjoxrL+nK5l5vUNYqFU1cZS+dHsBWK2sUERvE5diwyBDlqfNm8hzUZ3N/RUB9xWi5LuNp
lRe15w2JijxwCAWMU2/jxQxaIrohZFGJjWjV8qGUFP3SxpkROGg9DMmCDhyrlIvlKGhfkSd8RBbL
SRovPChga87GrxW9uVw3om0N+WewOHXSh+OSamBvUh9r98LdULjyk/bTgfGDUih0ZtiLSb+xczHW
8Uw2VmTearq8A2IHYbBL7KC/joDvYMjNCSP4QHoqjgaA3uLEXbLI3FkvRrB7NqAvIVg+tUF9bME6
ycD5aa7xGAP8CyaKVLV1r0WkNyhwzF1KcEn8GJQJ5+YYbxAhElZ33oYVMvCFFpyhkRQBiw09rNzS
3XkbjmjiCcZOpMe8K9SQNxu2WIgZvgqhFx6IxmWsggTkSlZTCaDVgBzd8MfeRySUGjTYEUNWDyJ7
n/MNmOQDwaIIhpI7qgYm0+17Up+MiB8Ctn5yN/SyXUQykCGvp5JlyitF0iGjlXSgNWcYToCB+pPv
4rOsIDqZ38ILKFxJbrpgkPe0AMpLtQEHAQ0s0F8qNQO2mJwb3OCfmKpUolEHnkrhPul+utSoNTMH
lUQGbOcVnO7rFC/LzgwW7KOhxQGxr88tHlGU2x74HHThIO/G+9Dj5txScprq+rlb2XntXfSXqtyr
2bno4fcmhgCdHXjhJkoUc6KNuRrqFY/P9FDy4nNfxvQgfQTtaqe9h8wN7dQbP/Z+fBT9wA80hOey
wIRRS9TuqJHHiIcfdEnKE8rtKBH1eo+/OV/0cKyQu1EqH3ik028Zqwlowc5l28WzgDNJVESZWwQf
jaqBba/jmBgj5cl4o4W1jA29XOD8NaZBsW6NeuKk4AdZlvqmjkIUXn6fWbm4Ozq2j9Rb64QPJWIt
Nco8T1W4QJ3Mi6YGh1qJCk/74B1NtZG1dVRm2huPZKXk2FO4WG7R7CO8F8BS/pJgWRwS2pob1D9r
onp5CIb+UDtRVqt1QARygHbSOC6etGBIEcGyyRKUcca4yYbARYgO/4FN9KbmLFFm+uDa+hzq8aT8
5YoF+n6KgV2vpt2XTiES2RZrIoV7NdkRcA3gbpDvN20w3go+P1JhL027PpkiiBOBEQBJq+pHxGRP
gSWHxZiHAQJ/0o+SJKj7/YTBShSmz2Oi1a5dgIh72l4W2r8VEmqlnV244t3JG0eZLGZ8C8LipeLu
NbLIV4hO3/R13Kd0Mp+LIoS7KtanpkRNHfSU5siJvZg2RmcDqjgZvO5BlcHZOp3KpwZ3DezlRTz6
Yx0eKgADIPs3hLRUSHluUOk/W/i3LTz8U3nj+wmj/7mFb7/1YwvHcRAMB39AcMd8OoajM3/XNzBR
BTlwzBxG1RxBlfxd3/Cj3yA24DCgbSAHzvDbpI8fe/jGg+L4c8zjiAPf3QInf0MaBY7/kzSKF95S
JngPGPlBGYEI+94R4EVPkPVS49UKSj+x1fgCVAiuvRjQZ00NwnTNx9AFYr+oAuMdAMuF7mxSLaeb
1qhjzFB5Gix36GB6ZEWqcznWlwArZ2Dz1T3GdHydyCRSR20RZ2duASx6wN36NikIQr+tAV1iycd5
jV6ggT6xni/IA7IAHg7qauasO1j3Tt7PZYmnBzkTDu++AmQQUvnSLerDhPgf2k/TpUUUPep+OEor
Pw7M+VhIFMNRfO371eUkyotBVS9G0TapWHyDdOyXhnGat/hg8A6qaO95IOlc9QzddMkDhGTxZxeR
9s18oGz+sHidzvkw74JgBTRW+zPidtADhEO/gjIKM9pEF2ZoHsDFiJTyMA8FvVMV+9obdlOFFtRi
DyyVbFx/Mc8Y9zA9ESG/FIN6Lnrv2ij5BQoUgy6jeT6iaT+YuL3hHTtUpUnAur003jDlXUO7bI5E
k8yd+jK77FI4wNhaBBOTzvPXbAlatqv6SafMjS9AsJz6oLiQHGBO1endouYd0fOJM3bgXni3rNNb
FdSvcasf/IrvC399avnaZiTGm8RFYkSHyTyDfvRIDSLJ9tFtNJnLktm3BhZfVjhkrwCsp6OuEUsk
3seAh3fBAKqSVuIh4N4bmo7puFTbr4fjuAv88alFe29U2SVRGO2QREcHNg71PoqaZxXUYud145VX
bhSCQJ8DBClMSOAk0Sp2JEZRiIE1+34o1YbjTAly7EsOQWVOPTC+Y7C1jivdIQRj9oXpzlUB9Wlt
BfiJuliScF7v4ibczzLcjX0AdnTFVBQkXjUcMetCoDOIYIy448J4dpApx028GFzD1usQ39TrveIa
ryrpjhfTDhMR7lfqn6pZ+EnsNTIxiOFkHDUruC3xZVD2CUHFIYmj7jNxwRNLVSB+hHpsJtUh6rWT
Kqc8EOnUmRMLmRKi9hE0I8Syx9QQhx2GcgbHM9FXRKQuqMV0ls6Ak0GIHHs/kCNvBDPGW/tB9eGp
8DSyAkh3J5E/fDYj61Ki3SgJ1m69aW3knQMpZGZDn/Fj44GnzoSYP4LW0lOuHVNWj/gaiuHaGzYs
K6pCfxcVLZEP6CVBxQZDBzePaUSYU5e28Y1TlFV0s/RVeeP3lj9DBMlNg1soCcqguOqgDQH7Gzeg
MSEhP5Qx4/dlT5yUs9Deoog+Fbyv/BwJLj9MYBuvmaWR6Y9jTArofZUd4MUQH4F1s/ipOze3gAts
vye17z2JGRzDZSO7EetMU7qZjeIvhI/AeUW06HbdBg+wNS+QLUMmp/Ji/kAw6ME8e4Cfiqz0V6/M
etJGxYsIqzK4JJ5uUdgjEdel/2yX37ZLAsf8v3e8GAAymk//uV1uv/Vju8SpaDELCYIJmLsEmQ4b
3zs7AE0mARyBVvObJ/jDDvDZb3AQ8SO0oyEGtm8jf39sl/Q3zO6JYEEiR7y1w+xvbZdbMPNnO4C4
OL8eruQ2Q5puP39n0du54AjXF8G1WLt4Oa6Rav3PU+kPxTWC237bQt53PJAumzIzlvdLwINEwHxC
6G4kiVtEFWjJXuQjG4LMhC05kFlAqbM+9PhJfXKXlaeQ2D6tPUix1segJRCp56blyM0X9U3dI63M
iyHvWhMkE0Vimi4rVEIGH0GMboGhImJKZqed8lIPDfDf4QyfnyVuXH2c3Oi28kFSN61Olc3ktO6r
fkCqi7SAr2t1u6LQVZE6Ij4GvLJRSGwMgEsZMtzQD9dPrNa3UdSTwwjtEhWud+ORobkcg1XtMCZB
Zl7RKEwo6d/8gn8a63EAARnnw/KKyGOYLXj4JsfnWQNA2HrBx05y9ELIYh4Cg7k02kcqU3RumfgK
MVXQ2Dp1J3v216rOPb2+jrTYjWo6u2zeuzGMyU7tjW9yjUEq0HMnaKdID4Buex0gZokZBT0jCbwZ
5EgQ8AgxXmXkBbzDeEgnCGJ0U8aapjtgZ8itqh8aSGfDIG87Tc4lJDXkspHuD9vbCZd03FQ3Yist
94Pj0h2NupMbtp+lKdEXx8UFVN0LzNqQaQBFOzoBVNG3roXi/1Lrhnu58RWXt846LN2+daGycSLI
E7xQppJoEl88LLO2xEZeeeMXZspd7DEOuhE/rsb5FVq/SWtjWdIifjAs5VUgC5ojd7vssBW+zQ6k
vZouzyj7HobV3rqT+4KJTCfkQJ6rqWZpFBo/j3nwtfLsaSZ8eWnKXiTwxTEDCUQunbCrhQRNVqhv
MYjgEGvqXGAy0MNS4WPBwIZiwul1YYGh0nJF0xJmYwnaORQRywdsWYc1fnNrFWCsxvA4DZipgEyI
lzWY8SE48/ehU2FkD4YfdW6YaUwfQ3VYfuGiX9NmXNYdnSHj1Avfe455rmZ1UHhsUkklWMsFnX5s
VvSyQFdczA+wc1Cgo3dulsJ50gM5RR2Y6NqrP4RFyTEhxYuhZaCTxMglTAQ4NLGIoREAD0V2LgGr
gvkUFCR1JN5MiUBDG3yaDCT+Bl2sWOor9PbnzochjjDsWWLYTOL5/pTWaAF1WZXY06Z531sMEgDE
6iYew9R7wMormPu2CY/E8Gdf+N396kRg+EqKMUte+CF2ynsLYYqw+akvg+rYley4WgQiOO3OhTJP
EdwEjCe7dxDrKH167TBzW5LotQvWq7bd+Hzcm2u0rFnnyjHDrKa7aYIaj/EWfKz2ui5ZLiyTCZ6e
6MVM5lh69XhXUBCgQHh3cLzOEUrDf8Tcfw0LQGP0Z1ubHL5Nxcbpkr/Y4PC77za40MdRQnCaXcw0
p+/6we1MsQCd3b/E2c3U/oHKUBw6uDFtoYcjgsFRvtvgYhwNDGcDfMt3vffvbXCbf//TBsc2VRd/
E5QrcB68v/cbHGvjlUlIRtfNVGFWVqp7RU4NQicnCWsZ2aao/bDUHPKndS6oRPi2DlvsNzU4a+lg
hxvqB8uHs6D2fiL2Yikgf3ZlxBKM0cA8lGo9sWp4nNvlKm79Y1hFyOoWKumpQajV4vEdo9S2/bFa
ETZuUTViy2UItzO7xzyBN5/yIZ2/ERuVWFLM3PByvTHtKw12Y11TrLxb42jK5yWCMmKaYMnh+aCb
0d1DEEHbCkbHQ7Cep363knSZhyTg/YSWtvjYMBfhuAharQEXWc2fo1EkddG36HrjL9BjqnSKqqeo
tyaJ4ujoW4r1A5YkBjc9RTzY07hbt0zersSalPimPaDvCREJoAdjQRktwYT2dbKf0XV+bgd7TRTi
foj8P4Nyr9I2EHsh7BFGKJIYdtYYywgTifLuKycBLDZXPnUqRHZ889/QLr1GhbdeGbF8qrqwOKNw
wOS40GsTWIy5I6l758GHzwLMHUurbUKNwuaxn2dxdsN+QjYYQxrgZelhh/l36RrE1cbdq12z+CRt
MIYspyUiypytKhk9aS6Rp7SZwKKNtFPVZUUDnHMAogEBU5SwwDEbbSFVkUtiqjPi8c0evfNw74XT
+ghpvkTaFPOEBDqDSwiX8W6dhXhWGiIajMPoCenL9s5ot78pEV04Ulfbi54hYDotjTph3o+GpxsE
9UUxy24bd2UR7FrBg68tKT5bhDMp5rM4/VF65FYo5uZlOXcfyIIvfl9QL3pxasbfAopYfbtRSfOw
jLkAqLS08ALQT43JtFFMRmOQFLCmASusBebUA3cywJ7Ixj85/XilNyKq2NiomCCcM268VLyRUwEQ
qmBjqfqWIAq40VXArDAnjSPEBK1CbgxWtNFYayDcTG2EVryxWuobtgXVBMmYjeMC0aU2tgtW//TI
MG3tGKHCTsqNAXMoaDDEGN7sxoe1XY1eCcTYP33K9z4FTtV/X8yz1+b/XOGWf/3FSo5f/PdK7v+G
hx4zXGCxfeMe37UqOMwANw+6GGTA0ZpgEf1BLnk4loSgjfk2N5t4Pnqff7UqOKDIp3DTsJJHPnaB
vwc9Yov5wzoeUADEGxdPoSwGoO//uI4PxVibZpXejYRRTUR1EXMEv6Ylf/fN3Hw3+94Hyr1vHc/v
JiA+CWb5b1uW6zOMScUoxT++EAYoCnAbYr4JQ5RjA+Z1BXm4jqe2wkAj5XGB4XEx3OhBXbNlvOhF
9yH2NMaLwURJZ4whzIV2xXnSIcvwDGGW6DIgHxR2oA5m/TSbrktbWqJi34Cj0jT3HV4w9brmBmQ+
6psYOXLae4jkYewWckrtBrPQc9/alAG1SiUmXGUsjADpCLkrommHwcNDNq5Y642wqCeDjw6NEc4a
WYKP+YScnEox2uUeoyXunNZeOQ5CRxVB8GeGgY/xu0cM5Lqai5ZjDXE/oGZroOpNU+ZtFeE4DbeY
67Wbg/Ejo/rV4/ELb5dnvQ1YEWOMdmOpbkJdnJE+q3ZxHB4iVui9KTWukNYfVMQPFQ142pTlGYDb
Z8ThxW5qSYdlYwGxomyXOeNGzWDExc4d1he3bbfVu74OKBbmpcHEvs7P+ki8jLH7QRt+qWw7Jspd
7uJ+3KOaOGCmigM0C8MW58BHwhDzUtPSC++dpWvSduhpGrMXNmC2iW+zsccuZcZAJLghEJf0Y1w/
BETj8Y0uwGBJFF4604h6V4IM69E1uvFy5c2Y+LagTZ1Lt9oJt7nBgLV65/vzfm2DS2S6OALuwZ5B
IgbjI1AgR+GEAD97QQlygIFxp+S6ZP5qHpE4XVOOYVuJPzT3Zh6PbiimTPvkC8Eg6oTPy2NTVeHe
+uu1Z+GAmbKeMBdMf3Ub76uHfG4qrHtQDTvCInfRGs57IHS3LSanWkx1voj9VaZRI7+sdfdUxtC1
2kg9oCmrs6CPxWEeEUWNIS/6xQ6EDMZ+4RaDKxfMJWaOlf0niTiv3q3UQSA4jKxOXGKRh04WT2PQ
XDAj6wU5bOfSecNhtD01TQhLaHFTUmCiSOB/nQk7Iue7m1al4WRB1nwUob9BO7NL1iSstl7LuhXC
6d7RR6jLBf82bONzaP8J0sKdK5xXynCZerQLCncjMK0J9ZgZYAHOmZqFe3TaEMDZPF1QjU4dKSP8
XeiNk5mqDSien6M6Nrnl3SWvSIGghoWcsc3ZQ7ysFtk0mMM8D08YI4vhJ6xOp5pgHKG6FBEeWV+K
GzQ458ZxjmsDvq7kZZmvdgEJichfNGM4bD3XPiaruXcYfLm3angVEB1SOwJairqnWefw6Y9loP8v
e+e1HLmxdelXmReAAgkk3G0VypIsFr25QZBsEt57PP18YJ+WSHarFZr4L2ZiTsiEFBKJMkDmzr3X
+hYERGULhuFpiNTHyaAVbyVQ78bkMZFXXV8jH2v3Re4vEkYCEcgGbQ3KhtkBVAVwt70ut52mrytB
izicim6jW1GzVgUCRr+Tj5kUUCjznu51VS1kX2xakZ3THH+ocrrY4ShvwXfbZ4UCaPV6Lo98W1be
NtdSvDL/sIx+HsPMqyjbheRUPhM+VEGb6lPZXde1LnEujsd+XFoLufH2w1V+toswjT9ld8Uq3jEX
X3gnHIxbN9rou99ff1ZqfF7Eubxjse+gJp0z8D5fvvJao1PMdjp21lPh7Ry1WTjDo5Kni39/HQgf
yHoxoUg6dZ+v4zTsWSG8w6MIT2GNL5LklfYzGvF/uM7n3e/7x8nnyR6ITc9idv/5OiXsJqMVgXo0
jZPKxOcEzUfe/f69yF99Zx/fzJeLtIGq1lo8f2jr+pbh/6rbqt9sd1ZXnKXcY4vLaoUEdq1tbw62
mywO3Vm4vq1X3uoi2veLLcX9aePyP7r5mr9Wt79/fdpn18P3D2G2O5CShkMO3P/nDyGB2UyHSRVH
dMIH70JdqWfizt8zIQF34I6L/YPYDMtDue63hrFMT+i5XSCgXPeL5L8N7/90BfjM/76QXCX/y80r
ZF6/KCT5wR+FJHNgnC4IqXTJzvm5JSD+AFmtYjTVCN+g0PyzkKTnTQ0pqTwxV1JGzp3yv3rerCdM
cw2EOzho/h1CELUZ98lfiwMyL3LtcYISmIhuhg7Fl/uo9L3BUESHzEvmt/2s8+gQfCiUvgsrqqsj
RHHUIGyW94YsmqVjYBBvLAXSR4oEvVa6bD/5SNcJUKjY6uQdrDCLKZzN8R0f3HqSqL3Tmf1LUYT1
Ubb5qvScblnO+pUIIQvMZNoEgx3QHrBuHMQu7CrZ2pwQMFkIYXgW/G2FNKYJhzuvp9PWRcVVlQcI
jJTQ2QrVf8E5fD3o6glS5kOuBpzYZu2NWkViPRoCqDjCnARyxDgrdXIkO2DmHrxG2zdmUcNkbq9U
4Atrv4R33fboPNB3P5u0HrbNrAaq4D+vnXx4NXPzlQl+5KJwbt0aEZEz6PeYE7M9tJQcu4r9pHXB
RTArj3iZL06WnscGYli9s5ZKgGP2dqD7uWLp2cTCyzdGYT4hWF37OcJODyTaZKSvZiJWAz0MkSfF
RirBN6vqLxkK+1v6CPAjOgMAcz9NbhQq5qpVhnMrgDwU+tpt6Nlnne4hrdMEw1Nh53i0e2TmWbxJ
un6nm80jxGE85npTb1oaM9Mk+xNbHW/tBD31cag5DBe46ZHjsiU6p4FSvE1tYCBG6aJVHbUguoeZ
WTolwyYNATmWIZ7GohyDCz3WbpCmogqCI77V7GAx+bH+MKnW7Hh1nPa6NRP/QAu+2E9qWsGPVeJt
YeSrPlIvBQA7igwbSSAkw0Wshrcz4RCVdWsvdAWqmu6DeCnMYnCNHBSVouRHP/K8hVnTUDbVa1jz
aBMjtHQtB6PE3Ms24yOmQeRFw11hhN8sPT31lAg5kACh01dNurCU9kmmNRw7qT9A+XikvDYWwrc2
oyNz+lvRVlPhI1p57Q7ttFY0mEDz+BnchjtEFnq++NT0LDIKSAshG+EqnbI3daaJdK1tMgEfESzH
YLQ7JXoRpnJvaAing+EyCZrTsVOuwWY+NmyXHBIcJEbKSTlUB1X3boYsOhn7lG/L0279lBZ+UHnX
sPFPmohPqNB8udYL6tYYk3SmyQfP6m9MVYAXYjqNvIuS2grV51o6l30VHXwUApo3KyGt7rwX8lIf
eS+pF15UtdjhAlwiWNn7aBBbsz8pFOPZH5vb+bjiZwZmDOM8CKetXkE6UhGNxfV4b7S2vQEXli7i
kKEMy1yx8EuFLt2sGPfguy+7sLqv6nSvO91ZrGu7QJ1u2wx3QwddbFnq/a6ojDm1YfZ5KMklZohn
YgBQTsdJtZhMezMDg1fIm+0Veop6Re8yXTPw3U4S3EQEjQwKd7EcalRqGm6PecVllRL5KpbdMW85
gWh49tYtpBdfRZ8nmIGofASsSRf6aJ5FrfNimAymCsu80Ux5pssyWuot4v1uLOhrzUtcFUxu56tX
mpPBOghgXBZ1ihQg3yPpSbYpYEiRNIA+ceHCDBnu2sm/Eqp8tlLGUL5mn2Ee9Da+ryhrzu+XwsI/
U/qxgJ9tPWugRlYiS+yFNIvVqINRT0NNzgOfdYxAvGom7yoqQR6ElbjOwi5btEz9XopAOZiAoFeY
3i77MLzrg+68AlQBaeZtogReNbBPcV6oOGHKggCY2lAYGNZTepdiMfLPJg1ZTmN2+YoG9olhV9fO
LDurZgEaERqP+RQ6q0J2OhbJ6d7rEKBZXQ0MTimXU1sdZZgcApRtOgq3AaWbmCVvelbtk0lbxb4E
m9MYFyjczloHRr45C+YilHM2CjpVoUVZzaI6o/cQg0zttY7eLvToS6O/i2YhXmzas+tgundmjV45
3qYGZJ4+OnI/8CGg5ktR9U0Grcxm9vB0agbLAunf4IDAQAsozHpPpMOJVIebTKPfjGbQRDtYODKj
/cpTPcsKrcTkWDZLDR2TTl44yw8zFYkia6zbh8U2Q6FYzVJFC82iH5mgO2YZIwIq8Jrv0sYi2k2z
2FGJwa+/yx9nISQ+L22HOyN0nVkmmc+CyVhFwYGrUSz8gTbBLKt8L0b+f3c0I5mjQvn7qmyNpSP7
VUnGT/1Zktl/gPYwSH+3kA6oMyXxTxkCVGcGb1RdJvK89witH1Ma6w/+HaWBeG/fvVdrP0oyA68z
Sm/LsDQaZpik/40MwfpZhuAw7nEQ/1tASDA6fjkuximeraHxrANj2L3flF121vTaaC6jtCsKIhPC
dtrYPUQ9kHP+cAuVBptu7mSYfpooeBj0+orMh9ENanhQfdNu6G+7nMPpTKiZRlM6MRe5Ez1jAYXS
mBnhalRqQO/g2PFlNvRJlAcCBi5xId71bS7iiwYb4BUOsa2DwCezPMwoPMm+GiqH2MtsOHxdieNN
8R/GogmO3rtcKEhG62hkNs0WyaheX5jv4iLjXWhkEjyy9lin+lX9LkUq32VJLRsxoS6IleJ32VId
5+jjomhkC67OSKjY961xafhyxEaT3apTcv2uBkNp9qLNUGkzaBm9YOyumoj1TH8OZlJ/pciD2Wpw
oodbOI/GUqcgVDrFVVKWAH9mKcuiEK4NzAj6jCVXQgZ3oHtt+kQxdFvjKrb78ygiO2tUwm+aY12n
rXxVZRSu6pQPxbCbC0uP2ftgGW97fv9C84v4cdR99sk+3KoTPZpybrWliX1dJkJb54i0mBg0ymKI
tG3QEN/RdZWb9uFOD3Qcz2kA07iyJvTkcbYCgkigiDru9UK78LQ2XSIcZ+QgtW0e02hC3tUvnXHQ
dmMnaBK26jc1d1y7rcGMeIYHp7jepJnz5Af5ielYJ7WOACO0MZTpk3NlefiqHIIRBk/5ZjhoM9Vh
V3jFwa+w3mEpdYtqMrdpNg9QvOKtyenMmGjiFq2SvvToBZnjZPfc0g2T8s7amnPpz+11IQWEq8bO
D40RKdSN3pHImAvof3QmA3HpFQCrWnbUhTpUxhKTKORHNt3AyO/bSAMu4Tf7hm+wqds1lvJwMxhy
Yh8p89WUyV3ajedDadyJujk4TXgdNcRVhWp9m/rB5Zwg4RZquxG+qexYtPVFF1SXo+Vd44m7mMqW
R0Qw7MLujs41DGE1Vd6x9abtmHgKQ0DlpSqVwFVlEW9Gg01qEk6y7FsGfr5RMxRUpUtgxrTPASFG
ZJ6sc9uYyaiZvky7pMHD2Z+C+v6GNX8fIn1D8xOemVHBrFC1TjCzi43qEIIwogISPACuFNFTpRb9
enSac6eS950SwJfkzlpEY2rCQdTf0hGGZFzkl+1ULJvWQv2C2d6y5myhLMdlGHc3Wj9lW0Vyd3pz
SVcn4WsyahObo3Vv9MaVRg9z1+UxXedK23FM1F3dtk+DDk+tiRB9qaZSrvsyOg990zWV+DJNuoMf
cG/3gYWXJ4pXYeocIUqVazPhPNEXPZ1paHeLMjOve8HkVa3UN0+Tj2j7XlTd2JW9zj7vo/f0FO1V
1sptHSE+TdP0Nu0bbaU57dU4NmITmulDPsoTAGUjXC7UIWAULDmYF3pkFxYyJHUECls+6z3sA82A
7zZbZVqjPDOVoVlNMaerbnqudO2hhCuzdVREJgXy4AktpWs3AczvCk8scLZsAbThBbV9vVOt5irI
GkxzhZpsCUcbF60FjQq382NhyqsmJdClJ8ZhTSRZ7xLVErlRUWSYL9RD1yLRp6v72k2j42YGlWWk
dW7n5dY2jjNn2Slw+py2ROOjcmLD+vpCaz1dilrqWxVQ3iEcDGh7dTkw8kC0qGvlZZ9RwIw28HlB
mEgcZgPfU4i/RB/d0IhGd4yC4iy1+t2Yeo9pNqAtA1K5QoUHuUznbi2q6MW0Mk5hM3XOyLy1L/Vx
a2ZVucsLuY4h1bsB2KC1DdxlwXo4bbKofKxsEJKVgm3R2+SU7BeBQlyTge4ZT0OvLhghOOtBydA3
4RW7MDOtWFul2JEFdMo8Hbx+Gtkbzsl4oLDhL71uHPdB236Lsf6sg6LR91qhzzw1OObx4GfbIMum
m6lP+W76UVkbBAksFIr7hU/kzsJouh0ZMnTfhY2gyCDGJHH2njOdKCGaZltwvvFAHJP94eKTv7IV
yzydak56QQu2n/r/WLTBdaYxeIgJF1pjLwoXbaBUy0hvXswStUMKBmUz2AywRoEcAcvLsBBJcGxC
5m3epLpxHnabophOEAaeYppyETcdO0bkKz0qVTRyHLdDqzo4RvRik7SQ1B4NCcT0C5OQSxxnBg4V
e1wxNKbtPJXMl9T+VrTxUx4rx6QKr8DK5UtCBU24Z8h6K1m8Juiu/FSV60aXqAZDya/EdO32ifpQ
kH2FEDk8eA44ZlzgnduXMJlzLz7JbFSI0RD5t2WQYHTyHkwOUwuNR5dorTdc6g+Gjg46aA7F+zSk
SV88Q3NWpDrFZDElt20O/jEPmXVoinIxqYXqKkl4JpAkYIyKTxLkFEvJnmooHQuYEK+DXWNK9U5t
b0w3ajjukcs5bhkrC2g+d0jZD0Omka0wpimOLADLXrUva3FiJOk3pbDf+oHjo0kHhaS4rVdHrwz/
1nWbN5uaFKq64L/2uXIL0piIupM04qzSWkDx4yenjZ4DAsiKDrVKVFk7OAPzXWP7y9qs9lMN95UM
LMz9nNQjWj/DxP0coqdea5p81VWMPYxBr8LI539mAe9SDLRVIhZSzenH8NhtqNweqcB24QAmhkqH
mZW5n4w8XbZFeG6W9sJz+juh88uLIUfhAjuPrtVGT5sX6eN+szykdgDqVfT/cxEjdDY8J/M3QAsR
kdj6gcnSTdXj1ChqNQQRVh6L0DmFFsMU1SwvWwUNoRUZgqlgusGszLl0xkGKPiVRtbAX6Cz8NYQF
ej8TAz6yPa7SruSt2RnCUerOhZ2EKEj0uXqodpYe7PsxeguEEa793j4fRbTJp03tYFO0N9WYuWI4
tZX4Okg6Rr6SPEDG4Jso6rAmQnOFPPOs2/3a7P1n2wQ+rEE5Uzw14Msqn3DPzSFVPXFKhdpVJzw+
4Ftpq3F+uxWFRaYBKpi6Wtlb3U+2GliHroldz9aLi8ysUjxsWWiSKiANodwFXZ6rS0yLdbVn5ten
9L36zu7Ac3fKeDHy7WSqESqu9Jge+ZPVhyShxfscA+FiiAmM48y5mRyIv1WurBUrQr4bK/06lAjf
07h1vS6/xzg9rTK7Kzn/+4K8p4jsy+yqlyaqVB1jfVTdyRDET0rhpXjQqzHh7AJLPoH4OQ4z3zqY
SddBCPOauqtexjEcbKOHiK3QGGE7gaETq2xsNVsa39/83VGbtw6yUSc4LSshFwm47aGxDh34bQcM
96zrWmSAuYUzurUjTyEUUd3kxTN7CzAPYN4xUO96pns3rfo6zbzvaSZ/j529lV17JMgFXtEcTslR
YkFd07uml32r+nSrzyRxmBbTugQuLkvSI+OOYB+o48DW+y3r7qkDkNyC1rxEYFlv244neqaW1+/8
8plkXoM0r2a2OUiNTTHTzh0RP8YlWOLgPC7QWxnjoh/QhlWY3Ry7OygIb2hRNuepEX0DS8LIRJBc
A2c999WD4YzrBP661M5NWnUkarnVzGbvgLSTSLhrgLY3VnMD5poxITh3cqEwB1wxFV1S9x5GoO9h
AXtopsDr4OCnmQsfAYjnBd4E89HeohZcBTNFnlXhUc5c+XQCJ52Dmh9m5nz9Tp9Pp7O+g0dfAqYv
OpW5ZXzR99lTPJPru7rhTnAeEpD2IZTrdGbc//dA/12vw/n27w/0m+Q1y34xYuGHfpznNfGHbSBm
/E4Tez+Z/3me1/7Aeif5E8GMxgzm44iFghZh8I8Zy19aHaYvuq1BJuNvTBgZ2v6b8zyuva8jFnh5
zGr4nbYt5fzrPo1/CXOztKG1nXMtrcBTGGIqUDvOUnFdyQJtZQSEhT3Ss6wuUEsiLE9njfmE2NyM
nNMqc2K2i/g5ptE4Uix0WuOvRynpLBU6DGhk9RO2OL1ctZ1zwTH1bY4bWyLtZjvUNgq0Cb8OOatg
poFCYUOjGAplq4TJs1GBP7Gi/NSP+ot4BliYTeVy3ttaqkZkAP4mHdYFEBRyHKFfoEk6aFRAoYYK
E+464Hh13I4C2WOmiOcoBfqDJXlX2dZ9AV1jqvoX1sMzhP6JMXNczAcHF3kzQzlo+r9Wow2SN2Kr
RsTJagjCY6I5iiQAenQntiWUj27GffQz+CPWlQpnBDAQVbd5tyhS3Tqf7ugYnBHjTDDtDBKpZqSI
hkEskAB79NZfVzN2RFS+tYogkeCBOmFG1bmlBFICbe0hhVqCuJSqPz8nTA99UuoZ63RGnIB02vUz
9MQJIWgI1BWu2ssOJAlwlGKWaXL2TZewrJBPjBepEe9qUqUWyLG/jWlnL9QZt0IwLMMVFAm6Pz5h
FcEQLsRboyl7AasFkeJpNMNbvBnj0r0DXWa0Sz5DXsYZ9zLAfZngv6RK1t/zfZ40xuOUkpcX1iB5
E7gh0R6b91U/g2RAl0e1iwihDE7BTbZsY2Hs+wti9vKADJsmdsrD4BvWLqltyYrfBZvQtpGk4EJx
zjTU63srzokIYe3b8bkU6koCGd7AY3SuPBAqzjIZxcAIJKcd0BEssKF9LxMMdYO/EWMeMLfLKu3U
SpL2zs5News4Qb3/73L4vhzqv5UvXj1l/2tdPWUvYf3yizbn/MN/LovaHzMUETqjQYT2bI76q82p
Izm3SLRgUTI/T55xNNO8QvL310/9aHNaf5gkNOPBQg0Iyxtgyb8wJ/+0KHJ5CeGEP/il8xj706Jo
JDR6I6+azqfmrrS9RYvj/8M+8Qv14vwb/ppsMxXmt4JZmKmQuMRUOb+CD26uqfCYE+IXAe4GJEQl
2xXPpPGt67a/v87nd/LzdeYJ+4fr5Iooygph17lRdCwzZNB9+/0FtM8z+p+vMGtBPlzBF+SstRhQ
kL6RQipvLOctR5ntKBSFhItq6rLuHop224bHBr+zCF8jSJX+UcsvwGL4fbFoyhOTmTFYK7DDF210
1aeBOzjpP3wUYt7KfveZ03X/+Er1EJ5kX82fhb7yaCSUxV3LADAX8rwnKsEDwxCObxb9pZJ/5Kjw
XYvyt0znd+3P1xfA2d+gfY9kHiHS5xeQ2b5oOtUaz5lVh2Ip2HhOY2i5zXIsCMaYRaOwJ2FX7isU
SkbbX4qE43pP9NiyUyFVVnMbDXOySgaBr+57p2mrTZLea6m+Z0JF0aopkbgZYI9s9NiJOO3ZzYLI
31VlEszW4gPvyNFtRrR04KKmcywFqxSfYF4qDFUJQh2cY6odYb+tvRbcBJSW+rr27TOkj2xeHAUg
1Wkcfkl4XloTbUEOKLFxnRdl6ZrQ6aaSxiGnjpa8EEslI7XYjuV9HZHVomCL7rMT0ciLKDqLhnTT
oU24SY2EUgHVXI5vTJqujIxFNGPwjNCXrgxL21VtKHR5nDw0CiqhdKoWjuHhOfT/Ey72t9+Q/llY
9c4V+vjgyy+PSx867FJDPZ2rG33r7abT5k7fkMxxXi/EabMtl5wDXWc5rvXlvtoz5nWHB2UXr5uN
ujHRWEXfc1L/9gXND8/XO+bjMvGFMizZpPDGc8vm8Q4cYUZLr16U61L9h+VovvV/d50vCx6zCSST
AddRAI9cD99Kf4n3G+uc6f3DQyA+f8Tf14uPD8EX1bbD66p0J9TOA30ZHUmJgfRSEeVQr/AI+uf0
7X6/QP1qBcTuBOTTdvDNOl++0tRMB6IMde2cAoyOwzPEnd9f4FcL4McLfPnsOP6Tce5rUBQ6tzVi
DLDLeoj/4V3800W+rLLO4JgTkZPaudOdTCXKoGsMJb9/H7/akj6+jy/L48heXVWpoZ1rPNsDFijV
vHSig4Ng6f1C/9PT378N/50v9H9nru98s//9aRFjMiTKb83PB8b55/6sjPQ/5gHv7Bw3Z2qL9qEy
krjNDWEw+sTIB5v2zwMjDo4ZyIYRXUfairWU++eHuQOSmyo0Sdn0Y2z8Lyqjz/chQjxbe3+OBBhu
wHBf1cJNC03Qyo3+2Kp7H0/eeJnXmw8fyvH7qvPR2PHdIfJpNUJ3yGCKTEJDM1HSfln1BLKLKIrr
4qj3bInwR4wa5XSga5l+DFToWLPOf4gvpjw07QO5VtY9BygtvrBVY1wGajpoGLYKHsN8VwZEYnvJ
ytTD1RQK5iWTvhzH5OgZipvkym6sHTCJ+VWjIiIfA7GaSutyCOstHGnMbOmwBp4hXEOWe6KzzxU7
fk7G+EkBZNoWxQ6g4z3bOd3OMCBrr17ZWkIiSg17fqjeqtYi4jzs3YQD3SYsCbdX0HAviFzflh0t
uNaKbsBtlXq95O3d+6a6I+ocl50o9uWQvSa1E6BTkmjW0levADVnpwX4OHUAv1pXa1zRp15j9a6d
zVqVXuPsaqnPQ53tdamkzP6y6074QDm0m2rg8KOFzV2cjjW4+v6lNuV+lFW2LqPiLAuG3nVKS8d+
6BlLL6+uqhCkqSUBrPmjfpb6qCibWr9IepzhU9feK5GOjY4MeNobYE+15g1uFMOpUMsXVpnjAJIn
Vl9JBDpESSVxGW1Nla2d0YpP/k6brcJCQ/DU2TEj7ulOkD+n83Uu8la5NHo2o1SDapM6pK3a8QOB
WGR29cXOwet5SJpeLFHo7WH/QMkTpVwI2z/1mxc9ytcOZs4w7bWlHEoa2El2501Agr3SZh7nE3Zk
t5XbdNZmsoyXIkSX1Y/EQ1nyxa4pP+0ofIMtwghEEjdYNs418ss3GfZLtQxfw5IZqqijbaBBmBNY
MXM/PXZa/SyiSF1Wkqk5lp9dEsYMTLtmHdqzdlNHyS/rpl9JgtaWRtYe0RzddH4LUTVpMFsH1Tza
v/KHpnRzIs6WmYeyTAK+7GgQTPPh1bGjKw0bOGotOsZOdxerNDTD0XyLIufREPGcHov3QB9iYl+9
ID7LSCFc+lFYLFlXbvyxvMqkUQCa08/9xLLcIA96blaCCcmjQoxaEvvb83lY1vQQmx4+FNobXZS9
SljO665Sb2I/oY1LIO2gzIx3v2G8p7w1iv0AkBe5URwsLV0g2hjewScWrApt1ehjvCveHQy9rEpv
W/BpOFihymvD7yciy2LucieJb2KSFXbGNERHU++vy1LjiF68pmhvw7hIyHQuvommZGrPDA/1FsPG
uIc0UYXRnZQNNFSP2EjzNnNWw2YMyIJMc9r5inJZtZEzN2KSEuBPCrahI0xasQjOqihLlnViGBSw
4Eb1AneIfiahZNCqUmhT1UtSuNQ5uvhQ59Z9YBuvoTqUC5a1EtGAWKdJAdB6PKHb96SQidU3IbnQ
7YPfSqiwk35ZZWIFRvIyF/quF8olbFrXVPxbLTYfattA+KKeOL1/xFJwHNPgbKqb9cT8H5raN3rZ
CS37yI3rJl6BXF3G8CmtugJExxC0KrqDNUftlZCZdJS3iEigYDlMMSJbYZStnI9NdZuGTrzytPq1
hpGnlcOdUr8aLXdiZ1prXcJ6XnpwBpDCej09vqgdwV+p3WjdWn43bMqy0paRT6i1YRdNcYh1/T7N
JYHJE6C5LvOx7UasW4RRygJaEbDvTTPm1dJOaFvZenobl/UaIOZ93ye35Bw8oLHVL9TWmI5seOW6
SsqnUhO7oNK/DZ59Xk6Q8iBlzbRfFNqMRF3QUvZSiZJwnRLWdC1Tezzz0+Aq9P1nxBjKside9aSi
j04vrsG4kjGGl03wkGl8i31wHYZ55Dq6sm+7+h7k1sQUVk/X3mxGKnh9UITZe5ZOzBrQKonp1m1B
iFZjK9cErTHMHp1+5VcA+njK6zvPqVuARFa65Wm23TJpXGlyiO9E028Y3JFeluYjqCc1oBkGCsVv
EDQwoTS2PY7vLa2+Ixbsy1oGc+9+E3Vz/07xoEMisZlMcU0n8r4Sw5VvVOYOo+B97vRknvuTd/j9
tvvTUUNT8WeB4jNpBVuG+kXYZSZtgQWzbI+5DXRJnEf2tcmrNmimRv9kYPlcRVCmaDTCCZgS+FTJ
tbHmmv1Dz6Cu86HR+ro/2h5YpNtyXAfK7e/fzj9dYv7vHy4B6SZJ+jbpjwUPJphSghQfZXH1f3AR
hz48scrUWO+9kQ8XqQMc81HW90e9ui7z00EBnrj7/SV+/lr4qD5c4svpomHA7Qs59EdpX6Xlekrh
7/TnmfUUjf9wpZ/OgPOX8uFK8yv58GYSQHKpSWz7sRynhchQ8mj7NmWutOpS8GXTP5xofjpucDlC
qglbAVEIPOnLcaPxo2GqGtHTIL4XDapd89oPTsb0/v3z+58+bPy/Fp4zO/U+3Eg/hefs0uK1Cp+S
X5w1+LkfZw3BgWJ2/SEBfx9A8Rz+GE4Jky4snVkWgzm0+4ORXOeAohMkTvHPD36OwND+MOlv0Txl
sPXdmf4vzhqIVz+1JaCNEOMEeATllUYzGEP751vSCkhAHZRyPBt0BJBrEcPoOiss7Nhv6jRlBqUW
QF52dx2x2rTNTUByGeVyxApmyvjS0xgh2yjMt5XoLBB2pvbiw1FY5o73hPf7Kvbi9DjG+H/LydTW
uiFIB5VqfZab5ltQ2Oy4KUgLkZGegDIIflEdVqCGelqdqTBOJ8a4xOQlDeU+EqpxOZgISqPIrw4F
nWp2E+cUWV98gmo7c+uiH9e4zeeWZ4yDBV/1Ehs3QkVEtQfZjXv4b6d23ngnaUg2aKw4DJyZvdnU
1ib5DzCv14NjIbxq2IZLajzySS0SdQd2xNJusflK5SFh9S7MIdtbQXstzECl2EE+gEyhgHg3Kocq
Ml/6jI2+zC2xAerxNkXRI1oEHAOyE2RAegClChmNN0hwPDRzwZkPP2rXBtFr40/aA2Uv8kRofOvO
TErXqhOsDgxXIDQ5mXOCdUKszF5V9rIY1FMjzJpNiMV74VeteVpZ1oWd+NEVJ6FdH4zXSgHvNpeZ
3Kh2fmGZaKmwpUOEUukHAo7Nd1OMLESqPSO8MVZORdDijBmrwHjoCgLfPVWPTxpvFM2GbIaRMnmq
6HiSzYX0iNiQ8GwU1OwLxReQ/rDSqL2ztB0F6pLt0PqEfaMYu6IZtWtFa5NwR7rHtK+6zDkPsViU
i3yy0WvA9tW9cwfpBtKJ2HnrhBOfaqhYhZ9OV/BVyEL+7+r1fZD029XrMuxe0Zl+e/15+dK/LF+s
EJqcbwRqlg+rF+Mgy9RsqgsuhwD+z06JLgHbY0yl/DAd1jGDOufHDImFDeA90nuTEO13Y+O/WL3e
G4t/dTHmxYu11bRpOZomZC7zSxcj0GaYUatrZ1VeloV1qgCsmQ9wLC8pYHQ4o0xIND2Gk+cJcqt6
3FtiHIVF+mponNuJmpy3c2O+TwdlZxiZftaCW3V7rc5OUs9Jr7BH9eftIItTWhT5SwMidq+lfXzF
Sa06geXsZMtmsF49LZTbXMKvE1FlIMRldP0YMKRwSMNFRlUxhJFOsok10btTkhnPXWeKN0UPJyA+
Jp1gh/EzVhE6FxSRyGdMznZapC0MNUoJprfiY5q23rUWOcT44JIKrtQIzlG9SSxRTrupCPDxV+h3
EXyBzfA59MtW7QDPd2w9nKHJe8nHJ7pC3UVVwSkAa15p0vUmTp8H0yyiVWqEZXSjRFgQEfTHloXM
CigPLjl9TBdGN5aPMSv0TnaUSBOmd9dialcV495uCmKTMgOZdFc5xkmHrvLJi0JTIyUIvxXjRoJG
lLKDvjSGma6Tc1ZHuzEwLTjvk7ycRI1iXOsMmDlW9NJA+dwXJrDaMyOC+muXdthdTpGNn7MyELUt
A27M/ix1kjFTvnfH/lvPzI3Ov++d7rLxFxPl+Wf+rGWMP0xJy5T5jf3FOCMIpmAd0IDc/CeY6wcU
Ryfuz4ToSfoCnGwHBcxfq8GMu6YD+Z8AjH8ttPk89wC7A+5an18DJGyWHf1Lea0HCTHMndUc0tgM
1nmeEJeep3SXLkatm9Aqhk7A7b6SQacGeLC6uF8ZotEEnixtzEA+j6GenHCvleM5XlhiMBd22xsV
btDBLEmCMZJAh0xJv4e9UiYh2D7FizrNVTwnzx6nymzl0Wpbp8pci/wboO2G0dfDUihlVD/xuFTT
hNfOs2o0jEPVOUy98CNsorpwzgDmEhk+VPBw+17elDm0TBtDW9nmxIHJOKLZWPbdCdEA4xq3S3aw
kri9hJTYP6uZYRRYjgP/uZPVsE4Ivz6FMpXT3Mq9Q6QYcv2/2Tuv7bqRM0q/yrwAvJDD5QA4OTCJ
pKgbLFIikXOsevr5oLZstdxur57r9oVD0yQPyYOqP+z9beynCa4MDX6BOxviTnN0MibGer7kFTRo
Dbdd2OHsqGc8Oyg29e6VeJo+KAYEnUGCLPiQWNnwSZ9bBKBJZX11ZeHtpqSYmQmC9MEpuCsUk+Rn
qYLAX60vxaguJsJs5DPWMOCnsFVx7XBmb3MgRluz0dAh9j2WZAay0FblxA4wUvHDaQ0MH89L9C/G
ijVOpMwqYspG/S1nanQa2z4+CLQunw2rN0JaR+TZDaMM6ZbjzQiWmV9pdWg9W3vQ+lQtiJwG+AHV
24P6XCdXseKiY2GlV2vFSHvkQW0y6blX2TI7KNuKGYWApJqg2vmK7rM4Y1Hsn0Z46tvey8hmV1L9
QsJzgRcl6XPcGhGD1pWfzYhQgdFt9bdGajQhUsz6hJp7OvXguhFFS5guirttLbF8zGZS7N2mjI9L
nZq8tsxRLmlkq0CWelhFtcAaMgwUda1wq10TYxcx8X77i9XR00ndi45Fp9hPDDqf8b7rZ11xmxte
frRVckg8fa2jGu869UbIBC4NBM5DnCIErnFUM4BrxH2yot+nfm43Ih2XTTzJaNtj0I//rrV+Q0Vo
VB7//WQ9vXd/IGFcP+dfJyvFlGbD8bCRxWhrruG/ukRd/QekLwjIeAttw3Y4j39YEjk+PZc1kQYc
edXx/FRnmd+DBFC/AOb6Xmn9Fa2Os9ZRP9dZ1FcuCBkEkTZ0F0qEX5pErYlVLZHD1enJXsnxc+Mg
T/QidFrT2zmT+9pH8bxt1xA6GMeZqRzL3h2xwDipnr2kOlaZmySqx/aAZq0pGXxms7ppFGt0yG7p
uvm2mptrY+TpJ7TtWHQhdjuYhGVPG5NkX4zC4hCvwMY2asR5HTOhg/tarUe8bkoi3b6/W1uLfLyD
GSkldnHtOwC8THBik6+DFxmZvDHafdpv9WpJtWNZEr3zEEvaHfZGUcYAHcYTsTIxCkcqKDTSgx0S
7JPtlFy0m7mNtN2U29pmXlq5U3O7ewJ6OGr7nCx0uTH6UcRkunpy2RQjQn366EhBf2c2Cr6iRtqX
UfRJHTZ6bT+ktt2t2UfUXTYS0Z3WJPnwkBsFUASQ0sUNtVei71qH/y1iclnkbHrQNjGMZx1R27Vz
wERoqJu/26Hf2iGqgf/+iK66umP92o7pHzypayHx40nlcWQiw9xmbX0YzfChH/McdMiWa/N04BJ2
TIqRfz+pOI55EQiQwSNBefbosH50RJRHrvbPL/a9w/oLDRH25V+fVNR5cAFt1sjGipD59Ul12cwu
puhuhEJ/0fj6qKFnqmBqHOwxqW6Ii7nQTCRX2+p21ELWXStgTshYvTci8z7vxvdapRtfluSQTdMJ
mx9AmPGc63qgTPJYVBpgWC2U+orYNkGdNsYZRhtLkbG80kZuo9g59wkZvEK5s7Pk0RHVs7Xgo4ra
d9d0kb66PkX7IR/rMFEUsjgT3ABu8kQ0CXl36h0JWdcRW8PkqVfiAoBV2cvZduXO6rRgTuNHi0Un
9FPiv7r5Dd7sJfKQB3XGF9wju2kYjlVkY5NiRmK21yhJrl69bD1pBjGrpVFn81u3l27Rnx3T2iea
dvWE8BUyozItuyLng9qBWwmuYKJOLwh/b5NkvICgCwC9cvWOG6Owr50Ot8v76DtP35TZTHkEr4zq
4TVicJXa5jPmmIPSe+Fk9fdJLHdKRkZaQ6nQdA+iB94RLekNMtx9zmpZy+xHC56sFP196Q5vlQ6Y
0K2u9HTnyWb1sTIXO7Gn6CEkpfnAtHJF/baRkXcwYvPeSXDIuUqzH5yq8s2Cim50FF8T7Qmh3atR
m/dew7iZ5GYqMudmVIZzrJehjKdDBxmvd5T7zFsOmho9maV4ZCLGqUSSJ25b1gcsx5NIbQOnbC+p
W6xGn3a5K8QYhegDXp3J63ZNu+xcwFxBvDTPut4kPrboNyyQ0Ea6LlbbTc9ih4yG3u2yPX1zchjq
roNqKOWCGet7jhHZVenW07DsTEt/wPlJ9Eg7Fj4VzX1ODOkRP9AU9G2OlZ3D77JYEncldiW/WIj3
wkSlhzSN2b2u6fTaCBss4rQyKJGUoB7BSin8H9x/MoCrTZZEQzbZ4KoZIoHZ3OOWscLeFg+pKdpw
WGU5kUHolxyHJkB/B1A27h9dBqKb3EbplxX6XeqKJpTZxwyRnESbdboVfa1dAyu5eSPhvJhdfm37
fA7zmdV0Eb2n0ry42fCsMAjILt1I6Av/3zFoG3DEhk04aFnf6XX5NI8D5p4Ja0nEJR/IxMxxmppv
MThHX+3gyzd9C4XI9K5ph2HFWbJvnjIS02niKJ2mpA1z3X2PG4iLQn+kUnjn9ZMnVas9+gyjCI0G
uGJSUqJaFS66JkejOeGWaYouxOp2MyXl0S3nJ3MRH6OjHjPPPeI7SLF8jps0Tp5SCB94BNuriOZ2
i9sZ6eKo2Je6iB7AEeC/8vIV17IK5U3WbTOI45n5AugkrH41cCJ15SA7KxE5A40cKcUuW1nJnpxe
WMbTP4BRZvL8loBVXpj/+d1KWpaOjV8J9rJD8RyvNGa91bduQzxva+i7CGDzsJKbOaYATZHuiQAA
9WX6WcQGX1wxv6Yr99nmQvXG4U1BqNCvZOglUsMWVDSdyxQImjOpj2pgrjjplSttDh2BYl3zCdoS
zGlyDzfLyqFeouizsZKpoyZyeH8ZW8yOWJ+8mUd0JVnXNY9lR1vFy8O7rerLblrJ1yNoKMAgKCNW
KHYqbV7bdGygMi0lYTVCjohRWGYn6jUZpqdKVY/DStouFPhcqSLYe4PhzhP1YQbLbVXJJ004KlIC
O6w6CJmuiR/bBuaN71xjupQTImcS/VDiny6+B9YnCdzUbl5j7JUakMkEJ4f1Lyn35sBAfs29r1RX
2alSALusmhT/WVlvl1EnuU/cEVRBDpu2FHdpjdD371rkey2iUd//91rklFZx/59j2fWTflQhUOVQ
m1n0BZQO/9EvGBqzENa+aOvXfemPdsGm0uBfDjMXypSf6cTGOoihg3B0tlSrWeAvOZ4cCp1f2gWW
V8x4PWbGNsr7tUj5ac2pRQbRWo1jXROpGN0jIA8CQYJKlFqYkLoBOw6jTkrSb24APP+e8kPej6oY
hFGtCUDd9zSg4XsykHBtUoLKuiP5ypkMsoOsnuK+76MjKdtYZOuilvldDaqkAVkCw+nLMusD6hjj
KuyqDc2VbyIdrpi4Td5qBw+MvlJQuA8SX5BQtABIQQ+WB6WeM/oFnpJo0WdmB+BUSNnEKV58x6zk
RQ1xZWWvTFYHeSFM+Kp2UI9iqC6mIogBhhSWmmkEYquYN+oAuziqpuZNz+SXmGcSlnoZBVpTbfsF
mVNdZvs2U/YpIS3+0lVvqtFlzE8AouPrfUxj5at+aSpxqTn4F2pBNFaEj0VF9Elr3buyVjeemHaZ
vNMG+3Ge+mfbjTcmnn7vN4303xNRjcfjvz+I59f8/Q+eQz7nx3NIqoOBuJKZmYvJT103J//qBox/
0MfzQIHOXkGNfOjHg0g0IPpR1dEdPqh+f0Z/dAPuP2wGojTZjsaTw2Ljr/TtxsqJ/P2TuJ4BHv+c
voNdw6+oVPaadIhtZd3kUxGflLhso4dlyat2D4A/382maWDgBu/WIo+CnVUczA7dnTUq1j6PkAqW
QkefMKtsSbOCTNOFjHrfdNaQApzxLmUDYi9uqpxcVcXLyN+VrCGWQt3aJcA7tDhU3u67lU3ofgQY
oigyJYa5JD5VhJRkhJUo31NL1vySgSATfSLRpFizTfo15WTGiV4QeyLRi816fN+ueSjqmoxCwPsU
VISlDJIKvvfeoRIRf+TeyNY9IL95AGyzUwhbUdbUlSqqT20C23vNYyFe6HMxxIFLUEupW49x6i4+
y/GEGavRMC2MX5jWHQy32WRq9AJA43W132Cibkk3GMiEIUGNpBUSFxh5Ey7RYWJ3iJBp1yyZvNMx
GBbXFtM4Lv340hI70xE/M0AFHPhFQ82oA1nPsy+i5liumTVlTUQ9ITYquhBvTbXxZAXiUUe5ioMp
NBxxlETguF1yJ9ZMnGTIDuOaktOueTme4BhcE3SaNUsnI1SHCe1LzrSEOWQdWEYnt7GgNoqb5Gu/
ZvKINZ2n0sQOguaxoNrfkXN7rdYkn3nN9CEI/KmJEnNjdB/jmvpj5+T/sNhlWU4AHzOsD2XNCELC
fNOuqUFyzQ+aCBJy10QhhWghqJd3BWhsb+qITZjqIBtIIbLiKveXNZlIVPLoElXkML0l7xdnAlKx
F5M4I+hOXxZV3rUowlj4vswNwI+OACTo78B15hwaXZ9dS0fscwIvwGOsuUkEKC1rkpKiWeyOm3ib
EbIkEkgJbAq2DvFLghFXDRViZSCmdv9Gg6mfmc+zMSxX6+KATroI59XQyM8P6UisLsfISnE8TnRf
jj+4DsyjktMgJL8b9WMb8cn5+huXuCz9NAL5W1E3eQrYCz/KCdfiGkn2YlJvJA/DnXAzZ5crLgA7
htg+V9XRMDIjAAzhGy2fI9NGucnimKDBRa03Bu82H0+Skfu5JnBiGulyQApq+VZbp0fXXSTzN2ve
AOgY0FbDMFKnaTtD8XDV+AbwCko2XbsYY0ud5nl3mJHjsC+ya2tTy+naM2sO8dBpSv5SaaC79Ra4
ncGWXYu6ZuOSkOF3tpHDQojpK2BuLlVjMKonachFKr8rdSK1nAqAuTaP0xVgEHTxGnisIi65Dq3G
Q8Q6Im/wxwJ1p572b92o7DQYVv5kdIfKHgm9tdyj4hrWUYsLN6ybjKwl1NZfdOaLPgSxeUNKBvGG
60VZJQ4ck7JrtkpTgMAapPq11fTPWVlGW4+wMfIbZ3dXSRjteU4IZF3CEOyVTGV219a+pq9/38gu
fWlGp9ZLdsU8X1OeKNLFR1qc7o4oRgklwtpqcX3ShLFLSzLZag++QSY7Rv6eGyxrx224DAMGCV+H
8T/oNbEtq/IusVITAi5QI0BQJzcesd406i618he2o7tR6R9kPk3wseFoJiDRKy2/9GOHq3ssSXJx
mMw0zd4e+4/YiJLQ4vII2fjywCI+1S/uUn4q+6w4e8l0W/EbRdgBobGsaSZisKusaJ4pfUD/N6cx
ct+XWteQ9JbHIZ8Z7mvLDs/kw9+l+m+lOrqGP6sQ+v79DyaGeGP/VSNQq68RwDYGKZ1HbVXh/atG
IBVk/cc/nLj/nu3jNqGkWDGFKn4U9BU/TQy9fzBitPmKFAq/5Qf/hZEhOINfawQLS5IJm11XTVyy
3i8qQYZda7C0Pd8Ial9nk0xRRlvpQBiJRZqAPolOg8xjYyMYCOZP2qjhu2clkQ6HRqaqv0yEtp5/
G+5kiz5I0MRNVQPXrQzb+rqg5EKI1RAKR7BbxxHHhnO/2FrsfXhqqQ1Mw3psFkPqmFEYCSm9sGjq
2SYURFnH560d6xIGcz7D7JFYSREyjvGibUo97uTGdDSwAyssJhzGXNuNKoE/O+YhpvVYaCCXt2BW
D6wgOHAq2xz2jTKJ/WKIkaGN4S7bOGNbuYnjDFED2Gt1nwCiOiqRW7ylEAuIG0dL7otGTBulYDdL
sCD3c4KgTS0VZPush98mi7mKlCVybFUoCYczcVGWSD7sWSGxpHI/qHRMfyjjcuM0fIzcAYaYE95S
4inmUxLDInLXQzVOS52hBwwBlnq0BI6Tc0oPOVhAFFP4mBWVFggNnSZSde92JnUIcUmvGpGqpOfW
8bHplOLWFIxiSPbymMlV77kjrZ1RGPEGZoG56+sh3aj9GiQfO1ASrbG4zVUsEq0HTa+ZEG207bxx
FXDMsWu8J8BT9vQ8vC2mwoATYAJ7rGMypG3ljaFRvLdlMWK2ZT6adN2HM0cR8BdKJKek8AvnDsBs
MejOrq7LnoxyNQt1JckuvObSj0mkPK7DsXTMoGeR38F+dhZ3nheR4OvV5aZf6dP1XALY6pggz2ME
l0Z2vEzX+FxUuc6xl61TRlMlVgbmWU2WhD800HtGRN47eJftHa4MpG3xDKaRaZkvhdYyUxM4JliQ
Flupesumn2oweWQ8bRbNGcEoQamNlirfa0WHejzK/mmY/rux0v9023J9n16/vf5na7V+1r9aq9VU
hzdPJSsJZdeakv7TsYnCY11vrGQXjsLftVa6zRrFRtK69mOcqD9aK5j6KtB8VqboQ1b73l84NZln
/HpqOiRPwO5nNUp3x6v4/YwjGtMG3nEqbtLq1hAsQ/RIzP4yeI+L1DF2CgLHPL06o5C4Z7zLnqRQ
AkeRUBMTniEBvdB3Bo8hmneDfLsOFsV+41S5FKP3JGX7CNXwY4Re0ir2KlxxXoqmZMbf2zC2Z7aP
enmuwYwGE0Bm6PvGdVbbJKDGMn2igZ7s2JZbo6bM0aI20JlIgJeyPueF8xQL+cbxVgVR7u3xIj3m
6XDbeeY1dVlwqh4q+Jyc6XohWGIaAGehnAEQe9LcjMifatqWS83PDH3exW/ujofRTbbkDUYr3m1b
JcozILSAOBDf0r1r4caEAADhrBw4S1HVY/+biTlJ8Vi7VHvobH0Eat9qL73pc2h3cdqKB4mxLp2g
g2tNH8h2sdFFMLlV2Iz6MTHaG0+xXkqZ62hgI2ezoO84OmAJw3Zm1q+Qr8m5SvLuPIWF6Vmhh2nK
nT1J5To+2AJKo+ysJ3yObR7EaWc+eNwpwzqQranjF7vv5aM2z9C2JxciQGgxFuUuJBAUeJ0A/szt
FBeo5+qVcjAhKbapdXuxU4tlL+cJKn8PdIVCfreo5oSRn7Y4srRH04ESUTrme0OzXKi9509EPBEW
lwCx542TROPjUFVf0uK9i6xjS1yVb5n9gTic09I5GWDxipQaVdkkeYMuySGCQIU9lwvjRJjfszDh
BzXYHktLvLaa1T5C1L2PS/Ne00hybObDyPB5ybJon1qR4StptCfgtg7i1jgJLlCWGI1zEIpAW1K6
T8rUub7dKtvZ02H5TcDlWLS40XyQHk5stW6oy+Mq9CaFhWDb7FLWiz5ScSrTaGuM1naVyXA2j0+y
KJ4LS/+AFlf6UdZ+Rop8rqL8UTjJS1x2t9C2UsZx7j6v5Oe+q0q+fLJHa+4EBTjLahmO5ejwbs7k
Z+gKK8L/dRDpBo/rycvSEIzrC0DagRXQDAlNBSxWdCsguHtMekhrzWj2vLT8lIMHbSTr0cF5aT2a
CjTTF5r4e3YsO7j7z5pQlh25gkE5jl9gUN7rRb11SBAyQOAvDapOQGr6OXOhjLd2BZ1nuupGvM2r
bzmy83ECPtyvzMx0BpIJ+iesLXGb2lboqhBkvZlVz+D0nxG3L0Fk668lcCSMQPkQqFBONdKE/WkS
n2xJ77LUBNManfOpquKT26ov0k0uRJffGTiuNMjAvtd636Aq70uPxAXbaQ8gRXkDRp+KDC0CygYG
MKRUp5P2ibfxZ2fgaiZ8gtwz+673jG+eFGiflPm2jsD5lr2GizPW8S1GleUXduL57tBp+MOWAim/
d5/nnCvoOttDNCXqhkZ53la297ZEw2tetLeRRgZc5FhRCCQ0CkrRepsus04sNsxbabg7EHhJdRdN
bfbQVBrgVYM7PAf8WddnQ8ZvWqUdx2IUe0S4ymbIddYfceb3DXhiUbjV1suHd3i7cjM6Cera1bRI
rJmH7dXjN+A5uPYsPJmR2Z2lRlqCroHexfeWDPcdYW6EvRkHW5pXgqlOdclPmeZtCLoaDr1UzFDE
cZglJYH2jvm3BuqfGqg/vfLPdf9//m8Vvxfvf7Ta+One15BCMUvlatcZaas/09kRmZLM7lqm870g
WC/3HyNV8x+45lcpOBsC5g4/S8717yopOiluG4fYnL+ELWLW+7uBKrAkqggqizXKEbTz+vGfVhuZ
6zBhqGA28IBJyyGaZGe2zz+1kLe/6ap+dufj+fuD74IhBzQB0nvmHr8UF23EJNaSVnYd6iwtwtpV
YcJ40NKCyNDzTWb0BLwzziL3kWt8JKEkKGR0mpg43qtNclekRGZYSXqeVZVxqaZY5HKwRi+0VA3U
ODnMenkYp+SSTt6+GbWzKue7XuiXVtbcMsYNAq+jmuVYTKf1FlNbb+usHQVRYsJPde8bmXgzLuSS
Dw7ELAJR+UgRX8FOt2G7ETnGfjLi8xeHrAkB4N0+zoosd9G8OOGg9CzPPZ3F6ShpFPOhwmakm08R
wpqdU1jGF72EL69QGO1SNU/sTTK2TbGpRZs/1wQdQkkFhL6PPXjGB80AUskwyb3aCCuYboBk5gon
29YfjMZwn6Te2uAB9GLXKUhedlo9Y6gln4g+uw1GqxxExCLaUm7cVlcufP0mXG+5fHUZ10q1cxmw
hPbIGBI5Kvxux033RmHmxxG1p3vL9+uNL5aInf6ki3qq6ZyN+9rprOU20YDotbHwTl5nO0ec6PEL
5gjzeWLpDYZV4GoZqtE8uGh8SbnTrVnuXZpwO1Dn3qMMo8iykZBt4Lmbod4sFHkjoPc2jsVh0q3p
6o2jsxn4nXOZyv61Z7a+CPQAYnF1rob0oGAJ36BpYgVGBNA9WIFjpopi49Wad48Clqi8jALNFR6q
6YZg2yU3STXWkPelz25pTWf+dFNot6ncdAO7M3bl9P1ILo42yUAbhynhbhgKLai8yLz2yaSzK277
nW1M+9msuEgWvb+LmevRVJYXIsov8JKrbdmld2ZtkYg8ZmFkF/s6JVInNtTb3psfBoqbR2zR7gcs
BtYBeWjPi/1Rp2NolbCJolb7pCrjNrYHMnnqnJqw3OYuQ7qFYWVvN9/6fniv0u5dZOKJTVvYGdPR
W8otBwgeNLkzF4KK3Sk0vGGPivIssUnE3fSmWiNTe2VbzBotJ7aKUXyFpEer+jVSRy2c7cKgwCQ5
JLemF8tO3wppmxu7z/sjA1ucDrM86yUxjrF+sZsx5L5/afjz9QOqi8p1NtFkb0mE2Y+qfFmifhOX
RDa1ausboNoJZ6nUQ2bB/9MEtafj3PIz3lvkqoRLKmPG8xHI5UlNL4lpA5mN9LuhIL95bodTrC+8
meGnF+2i+nlEO+yW4uTxEKk1AfdeR5qwe3bRbZlL/azIIcgt52HU47uqbc5I1INJ987lON0lHssB
dE46Tg4GJAtxltSHGZnLwdjVlIydes2V/Euda1+avDymfX6qC/eYjdqdnLWwgE9dF8XFMrOgLVpx
ko7D+IXiw4W23ubOflxL845BdLKQvSLno1tLcWhlVR3JC/hWioj07aQquJCJ0LEWI9+1XrOLetz9
Uijt9s9P3j+wQ2ouOtvvmBfMg/zn78/3RGgEQdkF8NmW3mIqPIHvXuQhEazFeSiNOXQm4Ol1UjIo
ke9a0/Z3bZurn1zp0mEty/3YZWd1icLcc57VZdi1if1R5VkcNg2QCdKqCBdb86Al7+kigo0WWX0w
M4PyzRYjgeMOewjHb6Q+jEGa9U86Fs0NZndaIRXyRFEFcxv0SLWanIVEVO0wHO10cyKZs971pfNN
FOUDzJPjCP1b9sWxHUExNvXZ7XVvN8wCoK1I9/qSWGDj0sCOIOMmZraLWUuGvdrfm2LUAlLdj2ri
8Vwjh4V/olFRdctjliII8Ww2PrrQb8wU7Vhrr8KZNL9MjbwmuHry2dpZwBnCtKBArHK6KhfKekkj
iOJ8Y8XNuYgBrTuVfpMW86kYyz33GhiUhuCCWvTElXc3eVbc4z1j61BNRWhXSkqkO/OdrrtNDThQ
JVH2tBXZoylMPJFL+uqRppBOvJkW3qAuO688b1fQ/E5rSuwT2ktWirA0yGbyzP3MOWT0NW2nc1Zb
dUKppHyLNFv6DZ07s/eFQO+SQNVmPcuGc+rYn3W12KoqOhhQ2C9EimtB1oscO0l8Y0icS8Bc1xyR
zN3Dqh+farJwTyz3u0vB8Orw529VxB+/FiI2nAqyaogucM1Vh/q7QkR2M/aREub7mIZGduz00f/z
7/B7FQdf0nCYDLP2hK2LbGSVq//8HQwb96/rxfG1sDOye2/SMd2nzX03Z7wTiiC1262Xbf78ezLe
+d3P9Z/fdf25fyqwxiYfGtNQlIsqqgeMy4xK+C/cip8Z6Ao/QakRDK71jDeMLod8m2mBmlpU8wrM
T+ug6uTnWnHO6WCCRSyTbeHN2pubmE5YqtmjjZwtjHNxcgrzxUbZSK9l2CPvpqrejNKpNm6jYGVr
gGA4lRCHcXGMt7oiW5a9tbFJ0/QrpDPigVU7CTmBRTi4thowRX8YzUKy28sfWVbphzKGpCSGb+yB
9lxKn/qu29r93Pu6le0NNVHYLVOhFHNV7dB5qUFL8AA+wdU8mC73elJhJ07JSTRihh8e2JN++mj7
WacLSg+dSXrubH5aZPZsqvnRQkvJiJxiLY0MrC4D4dn2aB1ymZ1YBoeViPQQiRp8lSjnlFWfJxXt
X5qVFzdZdlU3b6ZI8g5G2jjEJaaXJqyz0vUbTHdhV0SXhjyQVa6q1bYM3Hh5QFhPAdcon8aB2BvD
QDcmnWGnNCkzp7F+tWNUtmp516L3x6ky+L12xK6pMDE39g77xLDRtMdKJPslIrFi6sZrw/QKiaN1
YJT7TqdLE0ncYWuZu7gxzw5N/f94u/2v9/haiP/0bptReE86yOFLdq5u46uyRS/7RID1gdjus8vV
E3xlJsNe8lJ9mU9//s3XCeZPj/CPtzpCJDRcOu6N9cX99M0R/LtVDoL3gvzSr8560GwRb2on5dnZ
kuf6eKME5+dpA1NveuXfiqs4q/4x3UZXA0bj/3g1v29sfnsxBkHFFiyC1VH7i3BcqDNrbS1Lrol6
C1baT9Xn7i+SUr+fKD9/D3ZaP//AsitHJUmKhMv1Pe6IAL/789/oH/4MDjIXoLcG7JNf/prlYkv2
7i2Xt3LbejwPFjXnbyfU3xN7nZP2vy86L/Ufpaqtn/NjXk/f7uJwgFyomwgnVtT6j3k9G1Abpt4K
ZGVt+X0D+aNvxzbK3wkp1L8tpT/m9atvlLcjYWj/H7hhRFe/e9rgjgLNwMKugemzHdQZv1xnveSs
Hq3RvsZGJc/YAtWGxbmbtCbjYhxv0pfRyF2vYLspQpf8tfoi1LIfNyPocz8ZLLW4uGOqlsRbxXwP
IkXY9ZmbSIE/5W0QZZNpYsjZKhZ/HrIxfiYjSkEcrsZg4vycTrg59GbH2NGbiJAHw+tAmEqUOt46
FmClcamedXWkziELaKgcRq099od2ojrpUrQCY6z0QGPVT1mF5b2yaYhL+iah3lcCDZamodOvo+bU
1OWpaqOzNi9PgtuCLhwscNOQFdIcijKOiJpiG5raWUo2BcbNYnFmP3WZfJN7RcW1AFV3vFuCZEaC
RBkSjz3YMpQfGLlhYZDOc0R+/k1fhiVMx+nzsFgGgakFTA3VCsEx3fZ1JbazPVFsjR7HOLLiwHDk
EuaDXSBzqrBAWvhqXVXf0G2JkJ6hDWZ3+qaYCwHzaUyLQV5wGWnflgVyGLLPLXMIhtbQw6BaMHuF
z77qlBhJYChr53M/5iNZoxOa69p4wEqybZ1RJw+ICSSUdkrHqDmYSU4mkllfM72+Z8vJmLI5pVxp
CZghf3KhjOAJEGPxZgoys7pkCgcDRXWRIwMFlw4M42hG5aZrXNun30YxMyyZ3xV1vnWFQ6CIAauN
Pc+W7FI6ATpjLY6fx4q6JWfHsSNxNQ0VO75dHIpi0xsCrR2O0zhl9H/dc1yjPZG5dQJT8DDEywbj
KbFfCyazKruPq+mcWiQOOSkJObbEnGHhvWlMJdp3eZQEKnRh1aqdjdsa73Wh9XutQbZqVTV+ERAh
CSSuysgfHct+KrPWx9VwoyRNEzgea1Sz8DJYYtk2K7AfOG64znxG1XhRG9w6JM7sprl4WHLrUMUt
8ctRwhjYpZEQfTbxRteTE10OejVPskaf5+fK0Y0w04fnJZqfNLP/ZPaMx1nb76rEu8l6C6k5gafW
8LaQisP0aJ6xYuTgVnJG5i5xOMYwPpBZlft1ppGdKeJD3JsxyQDtPTTll9yNv+CzZW2QIkxkCdCi
JTO1wFTHxylV4d3njG5qOzmSFXwEW/FaSbfz1bjVA73WHih+t6x/PjW9ulOM+nZWEeMvqfHA8o+0
d0CXvgFzKk7MS+o0SoBDcbukxTPav2qHgO61jOWyR2pHGEpnUjC4XlApeRUaJRsDco5fsmq1Eqzj
pGKR7slTyTzA0bmLVdmtBu1tOZOgE+mFuWG4SRoZUTRFL240zXzvIEZBaWivjeM81ojNjl1pANrU
lnfCdu8zEyWCDaoHMwyRa70UH/ME2WWaaJYZ4JsBI0wXcdI6DXCokKOC5VeU89ZhwImgTKl5A6Qi
aEVtBRg79nm8vNrJUMHfqSq8Dd5ltNqLppjv+bAYYb0gYuhy0JbW4Gy5bD+62TzFdboXsn6pnJh1
XNKSJ8R8qlm0k8qCbesuyhTqo31vLrp5iNFA+Di5GXLo2UVjaoAreSeG7MTA9S7r4PIU2SEZ2oco
aT+GxevDau7Ooo5ubKX51Ljk7hoCIqCaxDYzNc69Lq15cgvIQfU477K8fq7qQQTODHeD7C3fitBY
zUxQgnSan7yeiN6xRkYxVQ1fPM0JzBwMHscFS/qorqKCOvAWnVmSSJ71+X3uoF8geU03FXF0CbF0
y5pPpxFUV6yJdeQFPX2XexmE2f0/9s5suY1jy9qv0i9QJ2rKGvoShZEgCXCSRN5UUBRV85w1Pn1/
SbdtilbLv+O/9c2JEyGTSQCFzJ17r/Ut0xavsUq3mzOXqEAC7/SuevEJwFsIwhsMHoaaaLxaZeRR
fkICVbl5hkrQawr3PJDLheiLkKBo1GirDteC2D1eKi2k+LQgr9sKlcwXDRrhvLkLAZzUvpjMWRgB
SYDcazrYKtqvDr/ELtf3ltC/Ag4cobfkADI5LhUR78FSGYGOSgtU10iMLm/Fwb9VkkER/4sq6fnb
a/sTXYP6qT/qJHQIXFuFjQTBV/LsP+skvKXAuKiE6GuDK3iva3D/4zJxID+GCzneivdyMOc/rpKK
e/yAZTAs+EeScdtRRfgPXm9MmC4TUwtoGXuc+iPeF+mabsydKY3oBP6Gpj/npuxgR+WktkGo/1xn
GpWA9NcLuW6uCngri4gGR78Hp/Zqqwi40RfcH0cQYG5+nOCArRY/hX07IBsjQU7davGgwZv0SJfD
7EXySeL7GzupX4y+Jh7G669lD4/fGB4dMuoMvhNChdbhOHty/Hyt0WL9RMND3zM9PkbFGAZuKNhk
pFFte3LwqoSCKzLMR1JFy3WjwvII7UKIhH5gS7Tu92HsXvGUE1OF0HvjVSmUMHL3qiy+IYTweSGP
T1NZO76K6KsEfe+M1D6h4vt6YrJWNXGRq86tvnpk/MVk/RWCrbsdeYm9CgLsauOskQyY5tFVRVJg
qiIDAQMRWJOYZ5GmZ720plWS5JKih6jBnB7MDnHDsBq68YXMO6gbRp+ssthDmxQLTCh6es9I+IwB
hcg5HRxaZ/H9h9x715F2WBTGDcdny9FNgqhGImJMMmIsJ6pBwkPdMQbyTHpiZNQpfWzEq5hF2P57
QcmSdJxJsb48ELdb7v1KUPRKtAaRCmgECpAyb52+oZubL6IhNshj0xERq2hHa/S0TU3ao9OQ+mh7
NRrWMLyZVSRk3Eh/O0f0HPy8gMupoiNLFSJZOdquUszXxKXV1zzNeON3XWQpmWDMthu5+B5JpSRF
BmAAmZEEVYbEMTTLxnUJsaR7+MKcl9RMFXAJcKTY5Cr0ciL9knPu4ERtfZVkNRlpEUBRSCnbNCE0
Uyc9MwkNuRlUoKZpNre0x+O1i+dgnarYTa/HtMQA3tq3JkVl1C8vfatb+Cx7mpgqujNVIZ69ivNM
UoI9AcZfoUr3197kvLY1Eeqtb1yXoywDS/Io0/me1tGQEDQZMb0zNOeuJEd0UIGiCZ3mVee5+V52
EzjdaLzTVABpSG/cVZGkYxEqhV6J2FwFljYkl4Y6Kn80IfaeKKJHPzW/0hPeuSru1Jy6K437Bu8z
RaxNJuoSN19n31Ynodu467LznRvqUYm+YGHySBtTnWmTOt2skWTY+PMU8Z03M69ixMRJOHMkzups
dMficVSnZejhCQ7VCQq75NOkzlRHna5Toil5Tbau1MmbcQR76iweOZSpfBDRq3PaUCc2FUGDaIhT
nBi5+4VjvXXqy16d831Vfk84+E0rPpSmdxw8AHgUBgsFgkmhEGvxla4qh2pG7WfnDM2K1r7VK2dY
G6rSaCg5PFV70DI/AHemGsn4w/1o31GmoJz87lC2YFtUWxNxF2ExXxCk8myqVlhjcGg3k+QiNA/O
RbJIKpdoIuo6daX8TME7YHuMa5urgtZWd9bYd59o+I/Mb0yC7Ry9G9q9lXjiKcoqcSG7Oo/OeZRH
3kE2mv0URo4ZXqUC302BfGHd++hMmN9sxGTyaIRRTjFvp3u7InYPkywZwzx3G1EzGuEpfOztfr/A
SkS54exjZwnB86H2xhGPAKQKb7xlOU1lLwNAokuA1+ecOxHNSFgGm6JO2J6y3Nz0Ufo9at2b1sFV
o41iixKt3oNbzwMXAQyTMKYuw6dGkAPIt3jnhUAu/B56o76cfTs59tksgrrWn42JfbwCj5biuzNG
Iw+kDLt9w+WNZy08zZluBrMEK68BIl2VyGizQ6myIDurfHarISa6hpxI10kukyz9ahIgWaW4fCmH
ywZo2ELEZGiTNcnUMsNQkN3jdS2ZrhbZ3sOpUS47etI7bfBOkUquHIiwdIiyBODK2AFFiUvIpUFb
a2Wo3MtcJWC6xXhXqEzMWKVjtions1SJmSQOF6vUTECAgAmZidW0Bt0IihFBqOk0t0kqkCW37mVY
N+dKpXI2Kp/Tx6LSxOa1HXNVERF5tW0LCp1Qz8ypzhUhnxrxikGlO5/RCr2kIzmg45QfR5UMSuf6
GIJkF42HWDU5zQIdl0mYaK1SRfu03ia+TqypR3YyuaOEk0aBo1XGqsd6VUIWCgSziHLO1yBb7rjA
cQcnxNTBjb8dVa6p5cljqpJO8RhxWZ2nbUsIqi1JQ+2TGLsKAakkBLA/Y27KBvKkteSO8DgwGe7B
RC6bEU02kLSaWXzUOplrrQphdUljLYzoNfX9vSCoptL415DcVjmQ4EiOa2HGu3/ryd/sBTR9f1VP
gv//q0xWgX5+LyffHIhYgRkFIZrBwfSunMSBaAJDcwTIYeUS/lMuA4/E1FXuFiZdpWahCPyz7aaQ
QrTwLOY+NhKUf6KTxU74sZzEbYz9AYKk+iv4hT+Wk9w/BanH+nKyivhTY1Hv5Ax0CPwkzchYiq3X
ODuDh0jM9FYm/xPNo2il9wDjC9+5Tz37yqrkoSBfCS45iUSuS4L9JmEG/ZBXPuQ2U7+JtLI9SDZC
IrfzVPuKWI9tsjSsIT664VBM9D900pdzN913kjOv6NP+RsfIRN6qczdmaqJBiLwvwLpNpbWuYxoO
zVTdz7P2CRD5g0VJtNJN9mS9pb7Q5lOceBcGQQ6kkr+0dIFEVo6rKNVv69Q8sy18MoeuXMeSb1Yo
1Wy0JYkiLL/PLWiz2DS2oY0Ry+Q+T207nZDXPTc5xYKAtrJGHfetGYtlLXUG/f7kbSJdcqWuYtpK
tB7hjGn2fBinSguwfB0NkB4WkILeiI9L7wbAmlwsa7G6ZA/Hdqg/x7r/qNkuys3cusmqbiMFsPiE
rmebLg+yHbdDb9TXRjhyVlTfTd1gIJPc+r2qSK3iso6Kg1HMn7KuP2rV8F1vKUl1bXYD07JgIiRo
6jQtkysrz/ZNp5GEEDsBMj94HPQ0CfiOvZOJiQLJPZLbQY7Q9qsxkCoPskqRphQ0UzdelsHnmGoj
AET1Es/RRWnhUpRhqq+6CX2JZ7JjWfu+b09hDr/WoqsLN69taswdTl/sJDFv2Yok6YMl26DrxJWc
aDlZFQCbGO2yrYdfM0gUWT5pADIp/MrpOXJIfuJ3BlXuI1lQSRUxfrPY0p71lgyWdpDsrRkjeHym
sIy9K/rMYDv0rt+SzOZc5qNF2ELZ3sUdAhhTFvjGzEgxOfx0vbT9HnzFQmICTZ58cNce1fqOibbc
5jz/1z1yLVezD1rTfULGttd789M4SANgTaevZWcaTHzM9BJXDeUdQLtNLICFh0OqrcqJAG1ySEKI
moZ+XU8WTBJT1afZsPNtssHG6KLIaINMjfnM8EfgUJyTk2uZY+ADBZy9YtvLDgbNnOSBGMuvc1dt
zSH5UkWkfvqkIUQxn2cK5Odk2wRhECv2blP7ieDtw9zmLamPNDMmNiAIIJp9uHLW1kTIp+Ybp7x4
yOxvQtBhPvzjJXxu25i12SN1JB4/bkNzHU0dOFL7lHVf++w81/elf/nvGfV2Rpm8Wb84o17bl9dv
fz2k1E/9cUjh5YBfJwSKGsWZ4J9+nw0BzYIKBSCUZogB7RUdw++zIYSgGDhodpA2SRTSe7wdPQ+b
FiXOdosMI8XL+wdmDholHw8p5SIxse3y9JmoTz8MPy3NHIk7ybKToYN4ufBlUus0Cwtb4x4Dn2lT
vMWQ903aAM3M1j3ySaaZ++lw0MN0V6rLLoP5lDzzWAWb18lwTy5De9QnQle/hKr+dSTO5xm9Z0Da
L8Vxxu0Qy9m+NgViCkroKptPk0az33fN55BBW4Dl6lhTdpfOhCiAQnyiIK9VZd570yeaFN8cSvba
qvgFMDL30STYxr1qb3f+DXrp7wOEX+hUhbOS6hZQjzJ7CLkYgOhcApxqSL8m4+RxeRgLph+Ouk/g
G2GvaL394DAjKrJxjz790Va3kLGa+82gbiZV1Qwbdo90X9Po3vgoIgNRhVw0mvhLnzVyXYo620XA
30EZ68bWQsTFDdrCMDc6Mt6zT0Y68ZAcoSvI4AhFcy3fY2CAqkU84a4zjPwIuSC6daU7fXYGiIOV
y6YHOUOcEpphQWQkxvU824Q42eYZejL89Y7GsNOgQiCpptvGVWHE+PVY2kw9kkQauQfOQ30ft4h6
BmNacTiE3UVqtKjRe2kdvbq1l1Xhz13E31A2yYXtao5xAGOkZVsTdTxhLZnx1Wgse9332sptSFqM
mZPReqV1xVET46NW6SFbXRQ3TAYJUJ7mCsBAm73SJ/sMDOqy0mmgFO64y7kfBUAcr1pfu+pQMYJj
Staizm+nuLyozfbR1LLLdGR80JjFvRXF40bG3ovNNYQp5HVZTNz4YulmdJXmxNzAI7Dwxos4Xa4Y
yQKKAnKb1cBHLHsID7S0D30Roo8NuZZPcOk2xRK9LNMIq0SvKjpbIZmL2KvRnJRxAA7iRehc3gUq
E3DQsltb8bTpDbl2FSdMTQDhnwi8BUMKVApvOISHa/D9BVYHwRUzKhKuDhEtAv7LlN8bG/7GnesY
g4bqKwrirb3FHsgRSoa1PunXroANmbX0Y+YaQaWuy6OTTEPA0W5ukrzTMF6aT85k0Dicq7tRsV38
Gdw85iJ31eCk8bmFr6DT+PTo3NcijL7llZdjseKOms4o2bT03AsKtplhoaFTMfXdXGwqQxEZq9Hf
ejz6umGTi6O3EmgFFDHsmlG10B1I3Sq7KDtZ3f97fvx2fnC7+NX5UX6rXpKfygv4wT+OEBOFvwG+
HKUAT6VqgP9xhMCbN1VQHvHjHO/vjhBbeQg5d8BCvwGPFB/l93sOygO0Lvr/Rvn9g+NDOB+EPNQv
AuUDbXOwSj5hOx+kBS4sEQ8zsnYyeMCAttEgtZfXcETgnYncWfUW6cNGum3nqMgxUdXtrd8W2o3p
DhqBrm5VurcRrTcP9scMKa0z2s902tz5RWiEyzpxWKxMhS0AhQ7KwISFGHUj/4973I7oeXCgCnkw
yWTaDLXmb1t4CGWd6S9RAyKhMad6WylsAkQ5uRoUSkFW/LeWwiv0mdk+1W/IBQVfWMiouRhL9yJN
W2s1Yp0mnh7NGcyG3uy/kvvH4EzhHKiUMSqrKhjSw6yQD4UrNrFvD9eewkEUbRptfIWIaOcZ0pLC
RrQYr9BcREzwyMny8HWvTIWZWNDVMkbvzmlXWjQqZP6I7W6+MwwGrV0CvSG7TpooBtjm36QL+DvA
NqgzUu4zY3IamRx0CVRCj7ujLXO58hQSw1VwDEnmxkX5BsxQ6Ax6f/qme+NpIC8YV56CbAw1Qnk+
Fu1Eht68ErA4UllZgUw4XBSmIxuq6WbxQHeUnZ3dTNA8KoX18BXgI3xjfWTLkmw1bQ1oJrBKUt7S
FCpIq/ggyxsqBCynt6bdC0AkjUFHASuswzv21no3vIWs82CXh7Idhl3RgfYIHc27Smzg4Svph1cE
A3deeWU0fXhj9PFjHpOkFpfOc9Qibh1JB9lwrX/MDBltQll/131y6aUWXeZqSO+l8ymnVUwkYfE9
hr+HqlCe5oLmMF5El23eywK/RBoBNvTQDo17YQpuYUM638UpigSzKHZ2zP/4Lb3KSfRM7WcF6k16
sFtiJc0edmA7jKZ9NYhau5gtF6ALnvOzECpasqXHqndAq63A7ABv12kuLyFVMTDhQTthvHa2bSOa
o2NzkGtVxYRAlVTe0u8Auz+pa5PUuQLizOsuxqmwVvkQGUxDQ+8aVNFWK/xvptZdOmlxU/X9Q6hZ
V13tIos1tfp61pL5YCriLpv4XhNcPwvOk3s9DcON571KbTomOfph272c44oTKo13zTRvHKotXvPJ
m8tLURRPy6AdhZFcFjFdtKQX4VXp0RgvnNra9nF0R/0XkYiZH8Dv7bOGD8mL3Yt6TNDQpm64orv+
HPUj30AnOU1DRcJg6bcrTQ4FcSlNYDj5Aevsxmvb5wLr5Yi4Ho7Id8dluiuLbQsXmRS1QB+4pUUm
/QaubnGdHlxg8/44BVSyb2qlmMlu/uDl+sm0+wcyHrx5lfmVw1zPdy5Cb/leN8YtYNGDS6yaVRQb
hxE/WPfpyMg5SIfhOXasHbzNDU5WYu6Ed+6y8tarzG8+sotVkVuv0p9vbW1y1kVTX83NAnHcDmo+
Y/TP0IEQjSP0DoZFr9G6Fy/Y7e9H9TwaWXpo+/i8VNOpIJkSTNIhnKq9W1QBG2kW5EK/Kcrpem7m
wMQSUIb9WkO4AVFuR2Tf3kVzW9RkXXbTVhNKSm8mL47XBzkQVA1gTxa7G2y+p7LWwX7q1Q7OP8Ll
PjqbEn7MEO0nBB5FpV0yVMNTmND0NBnaT4ghiu+APIIQIQttsiCUWHHz1yrsbyd8Rqmn72eGfclY
fhGMVboF+LzNGrQb7NA8Mci766SztaFTimhC9eArG6a59nP4MdWo7wq7DfzQ5wkMNVAH+tbzi+8z
skV2uC1Tx6CLvbXjQTaC1nmg/7EnxuuLbsiLRXh3jlN/8WIsvcN80xffyrl+bXRS5IA9rFwr2RJB
tO3CWUV3b2Ki+SIrvrFIF6oG69YMmaZq6NdaHQeku6p1fa/5w97rtK0e53epqC4lJuWWv9QleG/l
iBp9G9x6vd/yVbzufG9rWN2FFc4s2GyimjdsKrs14hS4s7b5MvbVF34VY1YwdnNnoyxKAZG68RiQ
sPDclR1NHO1IrtFh0VwEPS4VepuRTschEdd41Rmt0oxx3J0ph89FXz5JqFsznmQm5PAroF9Vst2X
HsqKqahWi/CxQAxfxlb/XLXpLQBfpgbTNgl73jt0eaXcu1LwdLqA+4YbmOHHGtvCoCHfSNy9N4Un
kLGH0i4uhtC4iiskx2VP/GE+n4k9ogE/EtnpoU3xLy1jeqwRsM0tPS3T9x7CFgdt253KTtzCkNJX
JB3c9XQwhpr6ul36VSnyy1xEcPcbfTUyD27VRrVUX+ZMHs1W7GpK4Z7uXoqZvxtV0VMyFigfVK6K
YVZHzbTjkxbSt4LHkt918CmCxZQXLYPVBb3UAGNN09JvTNceUlnQucd7wSVSPqLHXJkKGlvBEkuM
b05Bv0g2X7I2PpAfeGK/hQPSZjRgu6NYEr6XuZsFi248xqKrt76V3RctsfTNlO0yyzinGdTljHAt
imRri7hoH2ZOMJpasUmWKhiwJbrRGAXGbK6zHKtHXJ4ZEu7ScLqYEAzWGja2Ln2WKP8UYJFvQMdM
dXA3kA42bayVAaNMxg59UOQcEmDg9oPmfRsGbOQJmqnB3ZIJuqEPxv7TcauOpmU7FeVxltGxleKe
WT1nDbjesmtWMskCLR61i9Ik91RnTsLdrjWqQ67Jq0UbH7u2fsGbgiun4/aQT1eQc9Ec6hx/70ra
/6cOl0DmbUKsIB3FB3DyY/tJjm3bgh7XTnrB4BgxW3arMYD59SLK8vGncgPJNmUoWnLafLjQ0eJ+
aKOhedAdZCfaafK+tgxf+8epgiC1LsDK/HqlnxW871dSf8k75XoVVrOxhKxkkg1twyF2gTosh8r5
lPZPSeUEv17ur/1BXhjfJpVDZWDQ+vDCTGbJXphX0XnQnmR/bKKXMn/59RI/e0VUyxTLLEOq1Icl
QqRQus+l9EyAcTruesi+eUxTOtol9OtNef3r5X7yimxDpXvT8aQh+TG4SukPzFmXyRkU7Cqx4NSQ
bJD9zWtCcf3xefhhEfXv7z6lLtSkcEIWSdt2JdtLkqPW/38v48NwB3IFPAx4d2f0Fg6mq6y6D9Fu
/HoRxlS/fBkfPpo6m7N6KLrkPGnWCq2pn5wJkWCDexS417qT2Xd/s+LPPh10P4jEgWcK2DM/vnFZ
4hVJmRrJ2W1uGj0K6vzght9//ap+toYFOsZG3W5CBfvw1oXC0hxvaNMz8A3aiyD0qmDMH369yM/e
OmIkacSRneOab/lp756AaoxdN0lIeW7rx9K5jLkpQnYm+e8u7Y82QowxvPn1iuqZ+rAHscX9ueKH
Dwt7FnZOY0bfxHgFIi3807/ZDBSi9d0SuAjw8LtA0UxYAA7f1w+bT1ch4Y4nozinl0z9DhyeVzAu
N+ImvhUBcedb4ou3v35VPy75trP+8Ko+LIlyrZjASaXnwcG/RSvI9NkUqv2vV/n5e2fzlnByCkd8
eCSchf64xKR2Dhs/MJGyePJv3jv17n/8dNAd8rT5TEMY8fz4YNdQl1H30fxyufrOnkm1+ZTYUNrT
9G9ey8/esfcrWT+uxFSuag3XSc8GcljvRoR3zfI329vPlwBxbZA1yDjww6OWGNng2UuUncvyJDBO
TWBmkBn/zVH3s68QD9sfq3z46LN2iCU0kOycZC+5hk9V27RocHEaZPKsZbtc/M1n9JeXZcK8cEHx
MbBnEm9/KBWIc3Lrwq3ysxx2Tfs0Optmuf2HD9qHJeilvT8YSpLuLXTa+Rk18MrQyKxJxd+8bX95
lt+WUFpVWMY+fbYfl0inqdByblrnLn/RloNDe/nXr+EvjzILkBvH1FDQeMMn9OMCbJ0uYQJLcabO
K3oEp+khgbRQ+q9v6/yrZFZV1P/dlb1+rp9/MtPjZ941ZBWnQvCwshNzhr1ryJJRrJq0eL30/9Wk
/D7T8/7DrA9RChE5+OvfJoF/NmShnfj8i6VGhfRl/8lMD8Q2D8Cfex1+L66DcC3V6BALGWqWHx+Q
tukKW2DuPNV1x8XGlDgXfGYDtZgfjLTZhWqKMhrNOqz7r3ofPiXOhPJkso+dCHMMKNqDPzRrXcxX
YuG6IWi+QFGTeEeSk4Oicw69s55HRpAYvblpuNhnk381WuKyKqqdF/n7PjVPqV5CHoOQGbQRsGwG
I3eOIEEOYcir5pRAH33qpsGOrlwHG60GTnHlNWIzm0qOqNEtsJKDLkY3qE3vEzToc2fmJ8GIElFg
OXAlHXLEZvMunNB/zcK/ydPoLhqzgOxmDDyCHmmUVzpTGvt1rKL0aln6+rmUrDOLYbdorQq3iECr
GftCy/QtaM12DcA+3kg/0QHbRfVFr0fZxqxJfu5N119ncRMkudj6Tf41wn8uKdFWJJXsAP1y56qg
CUzA8beuDlBkzPatMpOAVyOLI163dm4cwKQcLT1PLgx01WE5kxXcEtUcZiiaM9AS/ujcNUbiIE9o
ZaCh+kP40NpEtjqHckSbWi0+tuhO5AeGutcO2gyrLGXQyfCpi7z7VKM/kGjW3p7DVzbbEmrzRIPN
KdadSNH0VQhpNZvM1jjsmBkV+v3s0fBwJ3EoSrTCdlTfMoPc07V1g1jQhIuWrgmqpAvZzQZ9BY2B
NK7U3yYlKs0lTmZo0NhjRJS9tEZJg6ExmFlpi3nrN4ZHnyJDtoGOD4V9vNYYyG6HUXHVc4VYz5AJ
ktAEdj3y9DEYNS871DDZJwVnH4AlrRzTTXeyEnmzb7uoCu88pNcXZE9/i7QKUjMwvwtCYJMAVuWh
baL7TgdSp0tzb2u1DArpbLq4F5vBK9feUFbH0muvCF78Xk1lu7KXkWH18KXuwFzjK/vUmw2Ce2yW
AAbrL0Pn6QRzL5d9OV0WhW4HrZcizvVQx1eQs0dxha+Kr4T2SY4GiSlAbFKTjr8T2SeXWSrxI1uR
MGOmf05OT9btMD9e5g7zDN2XT0sdngY9e/CnmO1chIfIbDCbIcoMUqNJgIdV3TaJSxgP2VUcEdqQ
R/GGONCrMvf3UoAXH13tWxImDwh6myDSohg5p/7NSupPQ+attQgiaMuE6XloxUYztEdg1rRIpXdl
TXhyjNnJbpzMfqLMO3aG+81duuMs6uvFwOBEZM+qq8RpqirzqmwLkPRNvqld52hNbQCEQsc2Gt8O
kd6vsmR+Mt37TNvYs3esE2DgA+7tME5aWODafTK48Hay/IYBj4YHrX2sNXmbQhfCOEbMpWCA4Fhy
bY2I+pN0o2nOflHTHkRQtH1bOhU4sFZ57F/B86btm50SqNG9zadu0scZXFDmWbE8+c4gt5IAS8fb
N4LOd66lUSCH5rIfl4NfJ19p8QPUMAz0SCPotCS9k7n46rf06/oJoG3ZAIvU0LIbRciXuIoZYseS
GT97IYT6fNp1JTr53+7G/564qpT7v09cEujk83+tntuvzz+zEKkf/v3oxU/N3RQKmg33Q2FO3x29
OqncSDtxTjMoNWxKu9+PXvEfA6INCDRHHbJvYLXfj15SuR3OSA/MqY1k1P5HcpofSz8OXp/zm9aG
jbeTDdX6UPpbsaGNktHSdcy0pLuepsd3b8v5tyP8PR7NNlTx+MPRjgLGxp+E3Yk7rXA/1K992Nky
FFN/3S9iY5r197m2r/MwvRWt/I6SEvh6m6wL20JiqpUHTqx926SgAomadTSH0dJo7Uq33WsdXuo+
3hKC+k0Djsa97pJIpoljJBtXS5yfjMEQGWesbKxTxFxOmUNhxfAmBiJuihnE6rx0q1EXhwlNy/dR
6PDhCZ3kvE3ctW0n+TfAY8RGLEa+sZndMgmLtC9pDuDUz+yXPoZHJQ3c5CBAmyPRFJx0hndCjK9t
cq/94regt7nTUbnY9nhOp9Fg+lnJrdEiY5zb8ohQ8ykzzUtoKeTlFvPlGA3NPi+rPSfism7D5j4U
+c5aElgfuLmXpXzS9BF4qD19LzLtJCefYTKugW3PjBLTz52bFitNrw9W4z9lurYv6/5C1jr37H6+
mTIQTwvRCNHSrkFTXzSu+xwaBBXgGYLJpq37LHmWHVPrzrVx93r7PEpPGh1iNBco781HJoAXfu+S
sisu7bIR69YcrnKUOQ562LYmnoR2/aqy/U8pRgxsD/m5DdFodkt8lIn+WDdE/MxaemFr9j3gMRjZ
CxEJ1mLfJVgbg7ib4k3vJYc5JyxQpIzhwtTZ6Q2No8rJnnqbaBGdrRsY3iop5bAlgeyCMUvA/Pqz
zex3jMW10zmPnVxOWWLfxgUDjj4sdq49XAHtP1TzSFZz+jkeGDoX/rgHrXYJHe7OMSo8c2n+2Sy7
T0bogqrpt1XrXHiL2GpT+wSEHJy59DEcd48VL549dAKJuXyDzrthIBJAfl1b2XRZw4UiPIHpmz1D
Q5UgnAhfCVeR4z7xLcDVlD5GoVLzIGvean3PY9N8n6t07wFasq36SRlHNE2/6/CKAANL12isA13k
X5csvMkKYwHjGV2SKMoQgGHOytbc+3ihUKv7GDAuzE29KL76BiIeDXb4xltcQQBBV14kmObXWm0M
a+Hcpb79pa87AE8mCp+8Vt+edLzTjfSo9dgrzAYGjWgABBLPcTt5jM17PPZHTkxF27W6jZ+jNDYJ
T9qMHYwGaTqbBI+6jktt7TchHW2foLwYpwPGidqh6CzaAXF0MWtkGoKlSq6nNiEkuXb0NSl4/crK
6ihotYz5ByK8tY1Nj+xDTd/IBQxsKcPstvIcU3J91I+1owa1s7mSTXuUZM7Vdt0dyh6iAnhBwqjN
ptsjbkw3UdJfAq/HxZLVwLcAq4fT4m+WycSYYef1ppJNhXAuyU9urueMMrXuhqkxQoGwfhHL/KkN
rWc3a/bsb1cpxpHAxxaJ1V67DIksVMGGKA4cMQUSHfsdynPSPgw3zD/3jF/HAT0ZCkfYW5BxzDxo
U3vN0KEnNqM84vNiQzT4o93xpuwtepcubJ4K314T7nNLuePToF7kJTr5XSwwVOX6Z5ocXAH0i9EP
8105ZU92Ggo4v8qbGDpHg7k79uHE/VqPhOABp0aSYaNPv8+MAuF4Yu0stwJbQfJOEHtLRuZd0l4t
XnZtmfU+87sbo3EwNHbM/xnoMbUSa7a8g2mEPW5npz3k8/Cg7N2FWQQ9oIt83TEe3syjLHz2nP5i
1J3qqbSlxv6rgUGKudD0LRpypGPrtkbYi9agnQNc18OeFPRhxzxv3rH1x5/DhhXMPr8vuUutQVL5
F/3cphdclK5L+r9B7lreAR0M+T+Ve0+wCmAjO1U6QLNrMAOFIQ2f5t4J53uvFMuXJSwTHHKUpKKP
mLqO01YS6L2r9aHcwajEPscPooYQ/Zc2yb3t5M3JEuTJGHMqxXJvEzS5ysZ6a3lFu56L6tEZau41
sAXcGXBvddJn9yJr5gc9TjdDgi4DvclDn5v3Xt/44B2nAdtN2q6rMJ+DmjRl5lv6o0UW1Nqa7OZL
79TGGg4Inp6YBx1cBHfL0PpiTr68C00xbb1e80nN0efNr4/nD/0rBfnxmEEZoDoFviFHNdTe9ZwR
ijiWF6XltVQK1wmUkjPejG23/fUy5s/XwfgiFEHpr0WAdBcC3OPyuoAw2DnmA7vSGWH9E9tluxpn
nw9gzvcD2qfcy/adGV/CpVx5Znlkp7oUXPtSP7uBt33rNPrGivug94mXicJXTCHIQ/kK2AtMUT2i
U/JHXfeTAuanfzkGa5funqBzSefk/Tskir5KpJ+V1yMohGhGgwJvq/pNjf4y/Xf0inMsR1FVvq+S
3mI7/iySADqhRKOXbKpMYezcbyF97z4HYCg1Cff9cF3jIoDfZh8ssjNWethwbjBQVXP9L0ToVDe0
7NczTrPRG+HHzNzCQwvnZVowlF/6G6Kv/LuSU6mvhmsurznfElgSAgr3SlTRdUKE1BQK3nOT741T
IK2ZfbHcCiN/zmTOfTRKdssI/rwzALlizwAxZr1orblVcd0Bu5Kzmkk5D6rG2qVxm4GSwaQ8xw4k
SPMVSc7z5KrgP1wik5tfzYsLPNCdNSznY3qlxzVZPhMWxcgAOhj7qQsJPPoU9kZx34yC88OI0O7U
zJCdWu4dA9ZZxRFncD+dUzfb1Lp5oiEFXHOhBWRY/8PeeSzHjWVd91X+6Dkq4M2gJzBpmGTS2wmC
pEh4by6Ap/8XVC21RFWLUfFNa1CToshEZgL3nnvO3mvnp6H8POibwbD2rIuPtpQDgBDKbk71xxwx
RVDWJaBAztcaWSiLTukx8Zj5VgQmZZKKXdujiSqUicbJ+Jwlavw6k0Qkm2SOWnl8plYLgclds4Fk
iLFYna4K08wBuWJVNJfpQKrXnwl+//N2oOf6U9H85/3AAwkx0CANDnjxz3cdjesK8KhBhruiPmtO
R4hqPeZHE9OJy3r6FHXg3BlGeYo5+XaSty4r6hmfCkaTGFSnGnVndDNcsahnRmU/aHoZb7rCaHDc
yzhxDZRWUYL+ebRHG9SoXuxUNnVfKEnjk9BKPcJCJBdV6cHwuUYWPHlK3CHgwEjr9nWzesJIjVte
28p8duj8AgCoLK8t1FtTnamdCVfXesU3K/owLRoltxXmQ2qbexGqXxjggigSLANkj5nldBM66alF
1FkDC8iEHLigyx9m9doYx7Msja+bxLgCcrQ15/4B25HuUjfKgdkM1IKI27uBRBJ7jXXRAMcSOs/O
YUrPEveEVzvao6JJD0pMg7DpFy2IUfGMi0RLaarQ4bVbWU73DqZTnDjI/UZfz8Dj2bY4WPidhDJ2
bPNQVPP+RiP43oHa0VXzsybIstLa59LCFTxznQBfMw74nLxPrdLciEr3YyvBO15ivHKSy6yWsv1s
L0HVIVXL6RjUFDSVGXEu4WEcJedSNP07nYbVLUxfZkiB0gwZc9PYVyPYQ4p5anZQljX8eLZCPA3K
dU+sFWo2xKeSEgaZImAuo+SSkgsj1t0oxh6USYeCXRzz2c5WUGvW3YbImtLZ67qvKOyaeSg2Pds7
3ZLaH6Qm9fNM2qbCPizoHywnqV2hRCheaP+gkFQ2KT0yQ9gXoa3s0OwcItGcIvKh6u1z6TyvBVam
3DrRI3HAC9VgN0A5pNWIbYWc7uJanEkdp4ScADwNKfdgkW8hLkwjsDCEC/tYTBuT9DhSnq3xvpbx
qxfymYlfN5hC/RSoLZi9MAwPMMAsrzMUBeESdFUxLn5N3bCrZrTvs2ntMIMh+6+IrcBbCDWxVT7Z
2j55Uj/OTtTYmVOnzga6mrC4ujN0cN40wq8S51l7pnBi+f1+tI6wPu4UP6wMqxn0x/1IjeOS0wUr
Q1W90fkapyvaymX0QCL2719opbD/8krYa3RohzBG9I8TTtHRfUrlcaKrNpNFlEydl4TqjUE/cx9X
sAuyaYQgldDeVWTlzF7DEs20kjhMENEk+Ltep0jvumxfYtO0cSYOd1JSnVeydZ1TvnHq8fpOvZ6i
bvLLPtoUffJUpvq9FOf1VTRgrDeIANgWxnAwaNpRWASzQr+VEm9b9pp176jOdb2gFCKMbtD6faKp
hyWa90btnIsMjRHbNk70Q6aWPEzSCnzysCveF3WLNSHcixpAcj5h6DYKMCJY5XMRPTaT096rESFy
aqdFn3yqP/db/lzYf/xQ10HIDxt9ZuogruH+HO3pKV5eZvsT7dJnf//DxiFLOTUyyFTiYa7pd7uN
dvvJbfH7u+IrkeaHN1CYRSZnajQfDfUiwa3PxyTH8ydj1Z/HQd8+JcxnlKSKgVD/509psjoIKDrv
wgH81b/2oqAmuU0m65NvQ/35Hv/a/iIcACsCzS9K06/yhR/ezQxpRERLrR4pY17Z1PybfBP6UjC6
iXfvlu793vTG05erxIvvpuA5D+YXnuhup+1//6mqa5/tN4/11wv94UKcMXFqJ2IZ6Tf4ajw5mK6H
LemEGydwvLzdKFs+543iMSRw48Dx6zHQj+Xr76/C+Kur+PHu/DA/zxH42SoN6+PDtFcDiNUb58Jy
zzvdjf3tveGdoh3eOsd4M+3g/e5uQp/EnB3rnrts8RSAHHEz3/Gl02FXbrtzNKKI/vy7yh2Osjdv
jb2zrw5i194Wm+vfX/pKrPzlA/zx0j+cZCS1S3Jo5dyXLr6oTfdWb+obxW88mIs+GakBAPuTanvx
ehoMe9x6k5eewKA7SY+kfnoh8BH3S+jd/f6q1J+bn99u5O9rqLn+/IevNSFnvQWZMR/jvePG3rIj
VOGmhPTOJMY13dAl3dXNt/ax2alPNNKC37/+L4cXjhVImL8/Rx9WG5Yaae7qeTrKSxVYQhwWvBnj
IFefbErrqvLx7v3xdT6sOnZia+O45PORmtodxas87YT5MmtBI/e0oja/f1d//VV/f1cfO8pSweJv
NOlwjInbm8OrOrr8v73AhzOfNjG4NAsOUJAd1ZQ+oGP5v3+FT74Ya30Qf7gvpKK2S2vmQavqY1dk
m1olXcj+5Fv57HP6sIp2Sg7o0Ur747R+KxhBnSn1/m/v48MNNlRLN5RdMR/FOAEZP5JFBtHm4vcv
8sndZX1Ylcwwkmaac+wGJLjrThlkeX+uaYNnwQZKhXocEXn9/iX/8vsxHMUiGlPDsfzhJVHKaGGd
9MNRL97bdJNpMU2+7e9f4y+/nh9e48NDQ5BzJzWxPh2Je6J/f1kUn3QVPnuBD0si+KFJS/H+HmUW
bZrRGaTo37+FD/K+b+vb90fxozQ2Thj6hDn3MWcDl0nuCTaaM44I3knrxUF0PnyKvv6Qkv7rS67v
+odHB9G7hjskZo96oDFcsqqeRby2K56V02U/uhcLDE22biMAOebal5J71Qfrrn7x2FxoJ5zaGTYH
+Ep3pRdvPyNz/+VG/uNS+PHOSVohKyEPnXK+buSS221zfV8qnpttdf++dE9AdR3e5RcOZ+3tfIBe
8cnqtYp5frsaf/jeR6lDL+bM1BI+0DN/NYSZrnPI/Su0F6fadvAfYZi6JR3bTbutt59LMD+7BOvD
vkcUj6SXou6PBHa5E8B+N/1CQrNvHYa3aVcHxam1BSn3Hj1q3rTNzgnwevv9rfn14PWbPcn6cJ9k
gFD0ruTWbDfTBlCwm6xV3T7zbsY9KIBkLVqOjMbviffwi029tS4Gt/WHIN4T7Pf0Gb3+68Hsl+v5
7+P+0VVgSw6zoZIlpQn0rbnFlzJtls1ymhwU9xVD1QZn9b7e0dQ7nTzrNrCpDkC7brPNdeKvRcJ/
ioN/Rvdrt+x7i9d/ZlD/hqy9n4/Pxdu//3VORybiZvrz/+2//Ptffyairb/1fWYPznwlncu0x3Xl
K+ditfL8+18SjoY/GNQT90Wv1jD0tWP+bWavEXgGIxRLAgEcX9me3/3L2h8acE7+48+u5Cf178jl
gE/89ITT3QSlgTrAkWVYtAzWPzQBGhP8i7DkEBCBAphtyTPHU0DUHaSpkQ+l1YFgk+R5YDYUnyTh
/GhHCsuilb5qI9EnkkCitoOcXoxBo9H8kuuGFF0GlJEHUL26i9qRmBgM3B1tIqIDcUMmpuqKmnaX
Tg7OWz/IYbtRS2MNPEfPU4KAKsl+3MTw15ugzzt1PbboYP7aFAcjrG0HIREIxa9hY1lSU2+nawbZ
RASxREIFTCYa7EYSjgCXCEi0FZDVK9Fa0pBt4R4lJGommTgm7CwflPOa8LOO+f1CGJqiLYwLnFXv
e6pX+Z6uy35KwsUzTKZOC6o1r+rGwVc7PT6tdUbLtXSR0t24qkP70K+JbOaazcaODKutq0j2kkQW
zCbZ2i3hz77VDOdT351LGc0CEZFcPOuYaKpKBDF0ecdFGwV1J9Hm9j3T+uskl6/RYxZ0RfO+vJCa
bDnTdOjRTb2JajN+gDDqWT0Jcczd8THlmKyr+B3tVeqptRXRiWSU7AwkoWrFtWQaYlPbJF9atNj9
FkkTmGqy4HCrA3lg3LdYpq8qZXw+RoKo0DploAqCvZ+k6spEO+CYa+9upgPuMNGrVWSQiXQGWHIz
mggp5qHWbzuH5ZlMz3UQY2/QSiaMhguP0LcWKohVPxrhsM5WJXSGbkmD2euYy31SE/1Sd/HA0dc2
kaIw2kOT+vPmTsiKkBlBpkeVQcFGy4X6TCyL7Yk5I1Tv62P/z/q3OgX+9/p3/fyKGZnVr/p1DVx/
89saCOtHXudRsoWzBgEwpf23NZAfMWtnmvefn/Bb39ZAQA2aSUsPkBjSYUB3PzIcZGVdTcEKaQ5s
5L8lGUYf9WENRDJMW5Krw2TCgvpRU66lY9nhSBbnU26vvfKE+2VkAFuna2Tv1G/gEHQaHnZ9fBRp
cai7ifmBbFtMw5PEC2cC4cLSVoA5mAEC1MItZhr1ppxIB7lfno1QXRjy9G/CbDoc5rR36zy81gbJ
PCPkCkjCqDWbehqbo6loQRrFdz28FyGX2Hod+6To1RO9Vd6zab4TcXFi6dl5k7c+E52dk4BUddIC
OUtBdk+aExG/zKTNET/csQwxHtMN8y219FthSk/ZKL2JcTXmgnD2JkHab1kVX1A0wayQpWMvs7hB
xQFSnqH6HR3O3jFWUlqBCvNyYilGQBf+MFd3cVFdqmaEU57JnTXrg9cMSDWidjtEZ1Gyxxl/1XTm
mZaHbwuDtLm8MJVa+PBwGL+bmwURTQGaM1TD17g0bkYD+qWcvs/RGlmbq5c2AAnQvHSAx6hD39nj
0x6weA55nENzJm6jcZB6teZ8XUBe90E+6DsEq6mn5XEbyOVguUsFt7VI2LK6kLAOqTc7X++jXRaj
BSkkKthBQj+m5Ko/gQ9001lnYUqAShsVIIG2YRWzSML2MlupTxBNX1VAe5HLVPIWreTekJXEb7U+
2TBiMXZD6MzZXRlJVnSmdktxT9QB21XOas3HNy7epJnCHadEBIRsvXcOIUjxeB73UAK1ouutsz7s
O+epxZX7hSQBS2KIidKV9ihahM5Uzi2Z+VkHmdWL1Lnc1LqozopFTW6RBd+1kEB2iAGeMmBtnkEm
2rnQUxW5zsAWO9s3Tin2WoH3mNTIbY40bdcqyq00hIo/yEJjJLKU21GAXyr0onGtTi3Pu5J0bZnP
UuvGsymeK4KfEoZhUAWJ38ini3KGK2gPor6BlfvS4bA7WJk6klgdv9VKzDFen+UgcZSjBHIKIT2m
nUIyGLQ4/bBridfcqa2ZXzdmkwOEsMqbTJ17UqKSGAl0fVPZvd/3JtOAYWEclRi7yYSpNYRSysxn
QCFbzecCWIYnaWj4CuI2AiNRxaE3FbTJCRmk/Sw/T2HtNbG4I5UdSmEpz27FuNmPdGd21UmX9pLk
iKcsFcItlyb0E7svt0SQZK8ZO+AuHxhlo3Q5yUQ87UY00AFarlWFgogZw7zTXgpNCU9R2oEJHOdj
B/UMArYEh7lKeDKLkeODbE9+j0DsTLIXtHdKRgMPsUTwz370J1KIGvl/70cX+fPrW/vrXrS2wL/v
RV/RQCx5pmnIv+xFWIvQ1Jt0f78aUb7vRc4fjA9AzsnoTtGlrqTCrhr6+N//0timFAwsKF/x89Ij
/VsYfnavX/ciZow2ug1YZqt/8+eyZZwFAnXdEogzx8zTe3Jvx/nKqkZAxk50XihN+krJV0Kr1m5g
dBNUr0mYAizxLsXyRsU25S4a8/oIbK9c5jZ4HgjTTIpe2gg3w5QjhyNA70p38mgrA5Bm1BmegeSH
WlpbL4OWXJvjch9jHPDUHOK3WuveRPDlLrPqE2011RTWGsbhlJslV695LV/0CgdekirI+5gZhNlD
6oWLedZnzi1JBCjKs+hL2tlnehteyvp0HkfdrrJIRALCcanGsrwhHIG4G328mFSrClaXu2upADnh
AayZ5IhXG09rBg4YOmGLjNt2CnikjdOz9mQJD+MAgyzQsnBrEsCDhqGgiK/1G+SD7jg7/qBpAfof
2HMAxmCwz/tFgaDZl7GNrHe5M5wvRRWiR51Wc8QJO90DGa2JV6eAePSVgzzMYe6aIxuqMc1vo1zt
R8XaWJoE0keO7yKFQwcAWC+3czjsxDZhH8AMYYEpso6rnSOq2rtKMl6GYT7AEttKGbpXcDlNp+wJ
7bxUZ+DvkWFe2XxCYQLiXqogOuf5sdWdKzORX7JpIX9Xdohkl5FwOpa4LVT9MbWdI7U+VNWx1Df1
oOCSnqyDkto3hBGUnrnId8mY5q4ooapr4W09tceaBPSoJaSzy3PyG+KnaZRuam04neLpqmd/lk3p
gc3xlWwgwzWQJXhtHbGjglRjnNm8W/N8LQ9QphvdOeNrOhUIcDij+aH+rtTojNSVZT8sm9qqOh+J
53UVA25JbawfkbVdUrQ9bVk9aaX5yN43e4Cqn/VBcH8pDW6QiDV+7KtTZcy/hNyRTqsVvk7YqZKb
J4M57yqz/zJK7NdqrK2z5G3EUYQ0r+aC0W4Pawa8P1aJ2GV0kfpSTFd81uw1yyq7S3s+pKUES2jE
gJ70Qr3qzTpw6gLIS9E6ATSO+iQEanFUh+pu6h7JNNV45h4ZLSOWApgYR9QGUPUJ6Jnjy1m0zj4k
OhRcYTdtYe6BvxuE7g2NQo9wiImal+p3PEi9c4r9rAc8GIfpHPRF1iy3o1Gt+NpxshEGRWGmX5eh
VoOxiLS7RE+rQFeGa+zXiHJmHXSQTn6uGP3cTjlSls6WzKrOlxTb9mFO5CcJu3NQgDUJaqE9VqOR
wmngcctjbmliCmDcYmBJAHd6UlL4ke1M13Y9mW4Vx+dTvHxZz4KQt2yfHNONLAak3WRJLwR6ByUJ
2z4goE1uWcdJ19HwJLBD7PvEKDexbYToleON2TNEt0F/yURYTNVFngybepSg1Evdoao7GgFjf6LH
JTmj2QT+1bzm01WI+SVIOm0vpma4dTIE/OiNvCgUL52p31WV9lDIFlhHeDFpTnBE06Bex2V6Z8QT
/a4FR4ytKUcRjo5bCsgqWZyfymLZ8n9VwqLWUO7ewHpj1oiT8fRq2fu8NLd1at3VTXJGo+Gl5TDg
yYV1bvbOiTlUMmV+rLlagwIf3ojkyaHyIk/pFZrCU768hvobQGCfWbfFiBp+ybUeoK4dBw0iZnOR
dMpnh75l1vhVz8M08+hZyxqYre67CIJyEuMEGlgFVOVEVqxDOPSnEOSgqoBzISrUJIF9JEpDSwpo
mhbASR0JdxBm/ZsUE1hQOQ36nsFJ3LqWj2XoMHbOh3mnlsrJEoXP0lycxtlyK80aMQLT/EpcS3o9
w/b0WiF2dafjkwPNhpCteRUVejtpdeVVRXmb2OYhruvXhIxPSk65uME2tpNK9RbEVuGFNd9GboXE
f2Syb4cc902xt4o6JNd7gI3M7lD3r46KxLArcu61rhhoI+SYIVpQNsoMYD6PyoD2WAe/aC1+1a+F
8D8V0deKaG1W/64iGorn7teKaP2tHysiQIma/pXDSwboT6dznEYYKSET0MNci5H/nM4hLK4mJE7h
nOj/09f8VhE5f+A2Ulc7EPwr+AnG3+lQYhz/WBFhKELYzlXQ87QhOf9cEZGyXJZwp5Rzg9StbAdw
lMR0u8nO0jD39KW7tOPlnu4Xz3Ofb0Xk3JM0zuEuJgEMjyLa9tpNWGJaunOBVrWX5lhByJYPQ0iu
QjHttanzl2FnpNJjFUUs+qxi0bmSOtEZtk/bQ0XocNZeSIbuOL2ZGDZyHRAEsZIYJ0L70dLDnJJF
IitY9I9LVeyEqiFaNMaLRPSMrkF+83P5sIykf9HvOKPtAR7Syu9KaZhBJspvSd29I7H8YpOjC50+
wwyiTteFPbGETfqjmKX7doHCPS2Nj/bRBq7mHEtzng+Snl3RxV2BcgxHJrwedMX4h2H3Tp9N5x9C
qh8VBPBA2VM1Afga6qpfxC3nmUp7lbMHY76IOyKwO+jHhmjZpEHGhFbf+iyhs+4ZGcgt2reE/fq1
hgGm7bTeeVYSQnqCZIKIDGI9ZihcZjsQEE2Ay2Bwe32qA5q7wqX5PAV4oIjRnudsr6ljC+k9aVFb
R6K/jOcG/v6St5djpaWEVUIoYV3ho4IW7HYtTdK4IfqlKDMMFo35UC0tLeQBwq3e6rZbVUQv9esW
i6GpCEInNLamJeZL7k3dTYdU9lOO8HFlVidOvqCoIxzwLDRkJJnO0J3E8KW2U0tLuCRdpvMblah6
KdbCrZIN76pT2aS5N/Q3sjDaoQZ9Gcl+doGVEtBO/pyrNHQzk04CwCybb45UIVomJgS1MLdq6+j7
XB6InjHS/MLWMFQrXUnAjzQngaOU+lbPNThdY2dsSSV9KybF2RLuSPJKK+UX1lJFJ3xybB+hKJ/t
Vf2ozom8C2UAHh3hNnRQ6dEzycxwZVnoGIpWKl/qGcJQReqU261i1t6W2oOgk4G+cmi3TgzkCEKe
tq174kT58nRk2sY7mmuMW3MMLU7XtvR5JVoy5F9vESZSR5FT9iIXFCqU3phoi8SC89ea8Jz1MaBY
UiSusjRh6w/5C89cdNJixt2JJSv7IAYkhxhJsyecsfhS33MyH1CRKuplRcHnA0fpDn24yO0BeScW
rekml5SIAKycmGTNyTZV3tzNkhN58kIbocIyh7WZkIexe5Si5j6vVs2y7dBJLxaIqAXCmFS2kHDP
6Z1SVhcpBpan2YHBqcZRfDoPtu3qdU/W9XCJGQwdqpknHlTWZu8M5lucj08MJzYismNvcqR3kfZr
pGbyCM76JNfzh8kU1pb0P6wkRbsuIs4ZHwWWEue94jmV1i53X9g3sm1cNEp8UuNncMu2Olqy/qqa
zv2YSxPttumiX1p7D/txhwzimvbObRObYSD31DPN0ALfnhMSvpN5q6kLXY+SYscGfybonbd2fBXJ
reFaEfkQA7L6gyEvz1NKzKco1V1SxSeZFZ7bGlLZiYbZzKmUJwW4MxRpSpokB+FXOslLapflk5n1
mPm0kb6XPtD0pCA7McEluToCbHqJuMI6ZNWFPJSBqTUXlZCuza5bAxiz5CQqmYpPNFaCbBY2l0TF
N9N1o7vJmhRWIrosFIdagMflclgfnkUOOXatL9rXRhykZMJt5a5OrvKorX1b7SiPsAtsu9TkQGTQ
ea11ZQ6WlIMbWMecFcaat9Mwp0HYJZqfWIUeOEtKomZrvDPoWfxMX/YkTZ7LZXMotPQUakwRoLlW
iTEjVlOTa0am8GY3sWXI2zykG6bDxN6p5mSsseTUZ/lCJHmiblVtYqlPudq44KlVBbbNvATmywgM
/0PNKiU3obIViAEvDZxAawJERKiPYm6lFAxFWnCobaIeqVgBNYBlanD/KXX+LHWQNv3vUgcf9f9z
38rkL4cR/OYP5Y7hmBQt4Ev4sz8BpRX4JXRymAXAQkWr873c0cw/CGFU8Td/K2m+93/MPxSaPuwk
Jvw90q7Nv1ftrKKO/872VxmpaqAUso11GksR9UH00Q2zYQAukKChF6mX02RIQhqSuUl2jtJXxMDM
2Jd1zUvj4pIRhEPyMdZL0WT3Yu4rP097IgpIpWJyl3qyaVauKubQbxpb+EnXvYhiuiNu66mWm7N5
0PYM/OzTusjbAHsPcU7aLcCNbaGQMB31+dX0VXPfaK9M97zRws63moQcImBcTIKc4NP2Xp6s90k3
p00q6utCTW8tZT0sZpyMBslagsJpHvShHvxEqQnxIug2jWqyfiuJwC9SaRWp3YpMoq0e0gTqBiLf
FvDNPkgEhhmCwswPJ/2pzkdpvmQnt8cN1FNRaGxwPe1otOU1Gacrt90B4M4s1dnUK9N9XOnuKr1r
4K5aMK7k92xFwK8seKckT3qlww9y+qW3rDc2VIdESttwtf6Yj7dqh4cjXPnyFAmciEDOWyt7XgFC
n640esTdajBP0D66ajyYYdedNHL50qgxBr0yj7GV0DVhHmMWunrZZBE+G1YYnwnkjYynNrOo/bqJ
cxOzmodSr+7YUCvG0VN1yuhn9iTLCUrLOdciTIJ5deyUblu08SZ3rJPJCB+o2znTZ9oMgTHdDKUu
7xXO6W7M+w60foJla1Y556tF87ieezvqk5ORxlJASC8MbCWU8EpoxXloyze0rYj3qi0QoqZ10Iuk
z9xeNMkdCQhqHmCwMM1AEfbZos6XckdQkmzi98BjSyO8lq8jOnlh0+LyBOvcRA6WZ5VEIPPSSK19
mC/bbCQOR146f+yjm94uzidn3KqTCp5YHj294JsXpASkxrDXi/Qew++NVRGbxlyDXG16a223m4bo
BgvWaSuS67YYHpKePuAEHzjN49ozwV0QSaRtp5GAOw7S6uqrPDUx+Bz4ylOiftK3lK1zbLk2aY6M
QNOEsSOfj/KTnXwxnkhmCsI1Naof8jPOzlc4ner9TBDAqSbhMh/ESyl1QdHdtANeEadxLqM49Wu2
qbJeTlpTuZOdVMBeTbdd0u6Ip6ZUoeRPuuypGLDESRa7YT8zT2lqWq4R5BaJIKpmFs9OqFSBXAh/
MZejkBkM0VZRmWRUneRXykSNZLxotWxiTEqvlyg+F4p+37QY0A3lLm9kJZDVedOUa8xkJh1D2dmm
RUnQEMUNjL6XMSQzE8LIqRPNwgUhdMhz/pniHEQ/9K5oi70dDafjiqLViyWYJk07sSoDNqstcnWj
oI2hnSiVxVUsI23BXxg9psRPlEZKB9iQ32nv7LJkfOwcsRHOGEDX2aaa/dQDMS8GgtTx0/iaMhAa
qO3aqH6YrbWiXeePQjdPbXW4spUGI8Yk8Di32kMytHsBYDaXxhCGvH6pwYwGAXWpUrJ48zKeGaOg
PjPKbVhSRMEh3OFb2yZ2dp+q2Wkkd7cWNGg3T+WrPtZ9tc7PYiqBTB7us0K/bhO+i6IeX/WCR01u
z0iSZxJcDPtopq2NxXyXq82hcdQrbpKTaqDHF7f9eRfi/bII6h6G8aFQGxD6er4ZO/miysWBWKOD
RGXhNkLa67O+k8HH9eSaFovYCRjRzpKdYsrd9vly2Y8ZioyiASHRHqaaW9Zm+lZ0+S3Bn08ZqHu9
MfZ9q791en3COWavaPHd2CXXht3doBnPKV3DzWjEe2u0XzIIDkoxkCdfVPtQJUW7L0/KReUJUwSg
4+yQgIKYcu2aGQA5LASBKlUje6kp07hMNmVdnxtEWSWW/f5PbfJnbUKt8Flt0pbP7Ze/DLxYVVnf
6hNF/0PR1ipjBdJ+rSe+iyUU6w+bTgyiCCAwf/JfvoklDH5CEYLzhLArE/TefwdU2h8oL5DCUKFQ
9KzB038j9ALAyIcCBQXCGhGI0wW5hKrJHwZUzmRItcPtd5QyW/WNseiBQ8za3hyBSo6txs3UNz3k
WXOWLMuLsgU9RCiaLr2d0yylNIdJfyxbVffLhngumRpYHi8nYWOEHBDMtbEfTc0ClX3KR2BSGI9s
m+ROjYAiWBaW0ix7Ggpt1G37Wsrja7snvLU14CS5pWTJhDtHS3pTVOzhjPpT1cszmTgDBboreUBp
vKnrHMUVyrId2TM0xY3BuisVwODYgvvxri7wZaJ6qpfZ00uG5J7UNaWXabV9oWVjzbSiSR8lozZ2
uJd7nMNjHjKYVyLbpSGfnAEMg0hfhEsReXZihp5TqfsykguP08dwJktWcbTMcrwqkMgFLQQC3Uus
ctwNUmggb2jsJ5Wj2eI5vVMt7FaDienQTrCgpoiWr+jzk+K+9EWyI5p0eS1UiSz4SJ+70ptlNkF1
MzhGylha14as2tuj1m+Nli+k85NJGh/7pFUUWg50b/SUVIkyoOHDwC5gjVjG2p2FtizOzok4nUPT
b6OthY7lsmvH9Im5X3fpWJ1F4rSpoG1ACXdTrGZWravFBQOuwboopWiUg6iTSTaNwmpo9rGqDJxB
EzV9zJD03UzOkA+URgM0NVHKSb6TtbK3XMmuw3TfUL1NJ4VFDsabKezozQE7sB16LdzkSVw1buJg
++skkpQLqbUYRyTdQ6wpdXveMMZni+r/OVX9KVZlPfjNyvU4vDz/2j5ef+fberWKuzgqQeRd+Q/a
qn39QdzFYsQZC5Epwn7rB3GXQ8abg+zLQhj2Yb2y/3CQvAJ3/c9h62+Juwj2+bBe8RoQFzjXWayO
ACq49B9F/nnf9vJUTfJ5n1YPoVPSGsw06aDCp2Fcq9SXBlSDHcWzc1wzwTZVhbW47/STtiKmSpQT
NxspdqdtuwyubmdrmWqikSFFwJ7qs3aRvHqUmYLZr8pILa8WAgnOEFLDib3DQCSxatmvE1h4HQPk
0kF3hVDpVjBG0UHb3TRRhJiHEQs3+qEa6ttWQaCi4z2Gote85utcplonNLQUd9M6s4mWKi4vCQcm
AEHXLyTNPISmcIJeyCHRxRK2Q2UFLOTNxRz2z9YQvYYFKcsIhngo57rZ26XD7KySrnrK/gsHdpZb
mDEPs0YfKaQk80NCE8HpUeaXId3hSW+D1tG+dIl5GRvN0e5pkdZx9pCo2k1fObUvpepbjZYlCJfo
th0BMjfdfjBpIBaLsgNt/EWWs3LNwIEMM12WcrrSOx6LMjqki3OjpLXlGgtcwFaVb9AXM/LnS+hj
GIZ0ZErMm8bzPHSIn6zuwab569IkUtzGMH2hyxd2risgppLLxBkVVyqAWpzMM6inuSQUp61PZLM8
2ktyGOcq2mtpdzWY5K9Mhox4vy06zzJJJDBzLN517ltLhrpMkgaMnI6KYsJhtyB9uuJ0APfRPnfU
et7mxJK6o5nuCYxzsI60b2oDIZIGY3QpMQ/jLGIw+hqzYzOr73llzIRxmzA541R1jmjUaAKViOfC
DFgFxuFsU+ZMnYkRP49JYvPk3D4XUkXWuunIEEMqqF3/n73z2I7jSLPwq8wLJE+aSLec8gaFKniA
mzwgCKb3LjKffr4AxRYpqTVHe/Wumw0UUKgMc/977ycsDnHloW/M64rmn2VvYaoFWARmHY76wrAJ
20vK7Aej/+xU0WOaUlncAEbhWgoa3oQ+gDUYglOhIErt/OhCPjKC8kseBtse//hBFNqN4VXfREQl
TSS3fS29ZZE6zVLvGvZ5BuGVkx8ksBoRWufJSM9sM3LpZzRz6mXypI/Bg51zD8D+QSWX5jJ6CekV
Mkwo2iadJF4PR77OuY/p+m0+dQd9jLd1mtzGMXbCPnsZ9eYLhqpyaaQG4fsWtFST9jj9RpwdenGy
Pd5cW2gHBEQSEDpGkB7j3aoI3Su9Nt48WsFWbTc9VZDGF4NBgBNcy6LsEGVVhU6KyrwcCv16zMYv
Ee81SmZFD6MT14vSrJ6tojr5GEscr9wkkdXSHhO8dfq4cZuagrRsrJfSpa00pU5dTlB5Jh+bSjHZ
X1Uj5libGNy85KoOGnMZV3m6pKaNhpP2s5egQDJVNdL50aAfip8PV7nAVj36p0YW2YofeBXOw4jv
LyUIL2HAz/pt61ufp86vzqGIgD5KTR60dNL2ZT4iNQzx1ZDWd+TS36MqvfWcAlI7Bj7UbSto94HL
d5mbyN7lrlhTC9evEkvL9nlu3iS6WSwYujnUorQzhhM4IMQVcaUjB1AB655p4Mz48cpsBdOKvpNQ
3qDp0x9p628eHprvMcB/rdSqiPjvbwir+D38Kyc1X/hjszWcT7pnMC743pRssKP+2Gy5HDBy9Yif
2wxKP/bhH5cD6xO6opI1f9c1f8xqzU8ooZZF/kNA5P6H6uVfpUmERfuj6pPk6MsU49fNNuZ03UZZ
Z50Mz2F0QXtWR9lI79jpIY85JJpLY5hd5n5Cr0y5ooBivuuxXdHnhL7SJ+5rGgF37sj/6fXnxM0M
4zIaLTXMycC+tWiHwj/nPMeH0OqzeF93k3kPo0+z90arN9rC97XunAdWcEgnR6d3Ad6qcRe7fibo
c5iz9s0vQmc8NVbV2DfIntvBKbL3YKiZuhZxjxwocK9t9YTiWr/24uG2q6duL2j2wls046JYByoO
MwuXLcitI/1oqrhMU9eJz3JOfXIkfYpq6qZb07IVH+1uEldBMFdoCeCfXvu2YKcVdYArxRUoP+QR
+ktksr1NxWc3Dd8SB5XGFX6+rBz7veryd8cvYWoNeS2+AvlZejr7YR2O+2LW7U2Xaj198aGzGEwd
P/qY9gaVxyOzJ3SfJ0OLKyonx+BNxs6wa63C3EdaQMlLamLqMxrcaXUv93NV1VthE8FpBo7PeUr9
iO0x9mP6gtcMkyB/3GrlkKFoxzZYeV1+9HpWeDto3BOy9bxPBWPLmPqfhfCjrRuzWDahyXBy8hJy
MwRG3CJdVZ7/7olI23rDvMsMRBciQdspwLOlkWDG/tQwIBLyWQB9WqXjTOuTY29Lw2cx7KjHi5rx
OrVkB7SM8Z+f2XLV0IW1TrTKPNNYnd4RS7JuAYMX74kumkNex8VTMsDfws4EOmtIjh8P67+rlvW3
hls1czm9du9/tWr97Lk11aoFXAfojad/BN1+rFomC5DJiNeG6cx1QGdQ82PVcj8hW5iKrelAOGJV
+13ScD9RME+qxzaY39A2/48kDbUm/TJxgTRtMtyhK4010vyjoEHhU1/nzjSe9fLSAE+jGmz101KO
mvenTrZfXsGzUYgcPqG6zW+oDMTK8/tTzpghcWr1Li2drUgOsfuo6WffvmnFzggu44Cs/93+/V9L
v8w/pPr+/Iq8dz+/ookkHiNc9OcEm+cCPGbnL8C7m7gTw7Kllq/0DkNHzbWT4tdrnY2T4NqoA/rc
MCR2LhmUwvksTd/cOxYS58RYe2W0JS44L7qyS4wrnpkuq0bHgZl+86X2rJgMpWEK4hJYMpOQUsaC
8jM6ayMGBNTe4uiMw50g/N6C3dvYlKiQYIvLbTBJusHw5i3chokza1pDKCTmIfaWVR/fesNw9G2r
XLjxcKXVAX+lBERTgJWzHruVmKhzo2swoLt+Af1xV5bGZcCwh5K2L3RGN2kSHktMs72lPTRYChZD
8XmYrYt0o93gzu3a6Npt3OHEqLxDFNtyETnluNGqpgUXMJ0olZrv3A7NCZkJkeWuZDq/c+oKOaao
d7UTad3NXAn+hz5vZHnOQnHVMX8A0zwjEtElu8p7q0aY9a4cdh9N5FdMWvYyZSfyA9r10utpdp6I
emCmQMBY4NfaNKANYZZ/zTCUrEdbnGQlDrhqV0NaXXXBuMZIvJ+s+KLjjS6CGm2HDuBJXoE2K1fd
nOvL0B6P7aA/1ZAKhGCalhfzg50xkQ7yCbZqX1yKtKOlnQV1Tg860POFrBxCCR22HQ7+FLdzqcUS
kq3bxH1gv2XWounhxsyrft/3Y8e83MSDFdfTVTaVdO155jHLv/raeBaRd9v23C0NzgSLKKJ7psoP
QRZf+kK7Gwfsosjki1KN1GMfAbz76kbsNYaT3JjhuPb7vMeoaqxoO1yJZLrp+hLVpyJaMort2Awb
nQ2ic/C4G/qqLMu7uRCXPKjr5SgZyHRZOtzKKbp1AmOPPX3lVd6zSAsO73ZzTxcYU9S4+VYwdMwD
HzMAw6uZO7qg5x738Ls+hseid1a14JjLCrY3c8XTtuK1o41cmsIL6OqTsBN61vOt1O11RvtYL4Nj
28KAtZEK5o5Uq3YNq2JlMghgobiZGMMxZwSKaolgQ4TpUTQtVnsNYm/KhBJw4LRLRwgHTUbAJw5J
YE7aIW3newQ2wmJZdx035V0yYGtKuOz2JJuWvWe++n3ymrjeqawzqoETWBAMTiaMPSNhoGDwdv9u
eh9ivtKQ/vtR/X+zKi7e/yyKqa/6zzkdDyS4E0exxD6ck7+f000CKLgj+Y+ACGgqpf7HjofypdLY
Orq/95te9uOc7n0i8aA0fIRO/6Pf/Z+I+B+Jxl/2PLwMrs8P6BFdIbfCPeLn/SFs3DFhKpedNaN+
CWP08xnHljHZ+8zIEWk4lVLEu8aDsNBhL85WeOVP9fXokXEIxpwpljrb9XihG7c3N6Gtb3T6FkdG
Z2vPLfvlEE5XehesHBgVi9joHmPPrJaZkTGphHQ6aM0uS9vXXLFXEP2/st63y0pDMA9teZTe8JVD
bL3knj+tdKIbzjRQhjwV85rIQbaCfayGoX23dMk2L8mXOcuuLKZNUU4Xk7MoJYfZsZc2W0PYPXNW
lKsWEGWpOweUR7wHEgplOLS45ZiA2RHaHpP2y+wbTwMC1iLxlMst4jHPXBT+xEnwuIeYC3J0EgoA
93CUN5NbBggZtCKbo3yco/DUucWxCqpjxO9ESgCLVW6at2Ocrkid5+u0ME+BYd4HPMMbHNr5AmcJ
61RLrrJKNe7rwtrl1kSm1KuePLvRlg78ZCgtNheU8A6UbfVZr8fHaRbjsfPac2WxdWUG3asJ0CgZ
Dvu4SLd5NToL0dvlQowTlVlWYGLZ8yBomI9W3VqLPh7PVMM6a9SheWXac7iefYqlw8anS6Psby0t
+mpnQYkvA6xnn6ZHyjk7+Vr500ZUzms7WeWWkvEtfkkIntWYl48UCBR3uPWq9D0O56+jjG5nizuY
21c4KYCPet5rYyTXAZ/vvd4V+k52Znk2m8A/C4igh4kIn/DpjhxdZ9c1EyXkkU5fGgm9ayuZsSbE
CB6gt9wn/FUrN86jkyXL93oezJ1ehqr6l3DC/K/0/136F8zu/vs69x1Mscz+GkvBl/5Y7JgAmJzv
mS+qThKVgPuPKMHxHs8UAW3LRhD4ZbGjF8MDgsjJ/rvxHKPTj8XO+YSMYZm+g+X8+0jhHyx2f4GN
8JQPSseKzqJLbPwPh2HXCI0sa2w+aR4dDiRbUCFGQJ8Sw/TClKFBkWy6ybDRFHnBvNEvopcci03O
KNxjQl9ivXEZYSW2dp41XJk0jC+zxC2v4AiXZ44QjxMGHs9H5/dalVnWuvWAycdpAjhQHY3BH96f
MnFvZGixujRzUulQHhy9XHn2qK8NqV+DEhpwBYhhG6G0LVObw1ehdxGcKWrmk6aiHnlaGR6PalDi
0tFtxhbOmK+0QFzLqWKpm/CGkqOgn1UteMOgPwxGt3JJGY0mLaadL2iA1VmV7MZ+c/g9kQn5vrWv
BNSB+LMuR+zhRfLmkztfTwGKcp8jGWdTtOdsFeyzihMQVMR1WWj6ljU/O9q2Nl4FMZoGGRXaMZvk
gc2B1pCso2QQAATJ7aWtDKzjjAXC6e+buMYxm9YPjhueqxorEjacKyGJGll10GNCK/pVoVGUi7IP
GFrlwNO6P1VVAjNrKrMNvfpkmO2DXZiPeTLc+thG2ZjI1szUNbsWDKMpjb8OhnUKi/l6NqGR9y7a
OdD556zD9tSXCtlTXfWRB86J3CeT6n6pzagKZRogkpeJtai6xFplprNPOucmDSaKZ0ew6ybLZY28
ukGcf6tN8oim3l6bFnb0WtuWeg4qKT5z/TpaqPNLyoOO9cBnJujbSx073cJLeWv0YerXQhE4inDZ
Jv22rq2Ta0fphqmvtqyHpESdoQi40rZNol1SWbanGUWNvx5Mod5zbk3HPPlUea+bidI0kQvagVM2
NqucqdwQXbtOUt0lQBSs27Bl5iqjzZAUp1AEn6ca/nmmeduwtZyV3emPokZys0CbG1mymurOoQ46
vAlH48qQtEaH8rpu/a+I8Jj4hpb3sHX2Yc0MZnbsq65vzzENzdpNWbrZ/D7JDFp7rmAn1SO++Zoc
AoQliEqngoryQ9L5L2WKI8duvnrVhF5Gm8gcbrh3YqYaD36nbRrdPJZZdB2X5UEm7TUI78tQAHag
t5r4etCPeyewv82O1nPjHBkFxD0tv5iZh/nOdOZTWHODM+jf35Aal4vRcnhdsa0y/Ibq3gdzA3O6
dWnsl1bdC/Pefyi4kUAIODZmwyWzs/cjV8mwmi/9bO6CIQagafc3LHYEXruVCUtpocU0nARcTK22
u8LVUeKW6hjlxbeu4ap6iLuZxCV+ZG63kbrnmg1wJZG7xdYPDS566j5scTGmKSXc1equbKpbc6nu
z1rPJ6eoDMwN6nadc832uG67ovhWcv3O1T2cpprHGQXVNmDBSXVXt9WtXW8Cd+Em1RcPY8EVELxT
LInkTbp+yUvck71bG2cc0O8W0La1Po/vfUtymEPZLbEPKDDF8BmoyaYW+vMUuyeCrRsKxIEZoAws
PdEKfNfhU8EsH5mOu4o3bYegXOlVc/Hj7KjjSpzVdc2ug+vEpTcidtIdxzT/gGL74DEk5ZVhUPji
3tBtEzAFSdG5NioMiolc15p5kjwGF7f0b7l472QmiC9mdCK7mbkwq4QqrpJIm+124G44H3RpK5Z+
XL9GNeHJbiLF6GTZGr/Et9B/iyv3tu2s25T3hH3AYL5RZNwSvQsNGxs9IssaDCnI8ICJ3zCPSKlD
so1qkDRxkqGgdKDG+HaeR5LPVmx3O7xmlpdiY4iHo9CMYs0fdNrZNLurYY6RV5hZGCiveq/Y+RJO
BnfzcM88ehlouBasY4SYj+XD/YylMt6zHIM2Zx4UQrLXovrOjAk0z1OzDCOnX0uKLBZ+2L7BrIhx
pVhbdE8MInXN9BHvo2lWQOjlldDbhDKEetuDeLPT6nosYRlXxngOO3mrT+UaJsS0weVzLGt/BxZt
hP4y9ZuxN99Tv5eL1nVv8sglNqrMo//eGz/ujYJr1P97nkIs//PdUX3lT8cpG18N1V8OJyDvF4O6
SQ8BfmwMWD8uiD/uju4n5CxP0R8443BLRGP86TiF9kh8Rg1kPsoL/sFxipvqL2om38nTqR8jQsaZ
Dm76HwGbfqDRM+951bmQcbkBoNeQmqc/JZPFU9xYhMMTJJ+W8l/2eNKhs93ta9v4NrAxLso8Hw8j
EyLyeXBCOr3fhWW4phIB8lGDvlgWVNWrWEfiJl/GoMHXzdUHxQ5DZEa+fe3mtkcR7ORfojp/sBvM
v/VoTXzM5ytqUB/CsCO9Gz8FiXXPNlycXWVzLpXhuVfWZ10a8SHHDR0Iolip79+wG0MR5pOPD73f
hBR23TPP36FmH5NKThtdFmutlbccVCAB8iBlWn098GSFot7a6lEbeOZyt7mL1EPYTOWpVY9l2Fnb
VPcj+gvat0k9usQLh7WrHmeL5zqMmdlyn8JcwQCYCX7bNPF+YC0wjMhFwhqpI1W5qJlOv4+1QxK0
U6uJpKN/lTWqlme+DT5WHLX2uGoVymI8GzkLE6S/g69WqoQla2bpStQaFqvVjCVpO6r1rVYrnabW
PEOtfj01Xj3LoaXWRYsFMlMrJU7dW9wZt2X71WQhdfl2vVpZY7XGRkb7GuGeoV+H9VewECdqRbbU
2mw5mPHVaj2pddthAfdYyJm+lJc6N061WuMZ11cQn1RDgNoBZtO8F2pPSAd/5bFJVGq34CxE+wT7
h8NGoqsdBezlJmCLacvuMrLldBlXUbagUu1Fhh0/+Wp3KtQ+Fagdy2frmtnCpnp6NtnSOCJ85m5c
7XNruOUwg+jI9scrSxJq2fugdkaKkaxFbUyw19g1A7ZPX+2jg9V8MdTOimvG3MdKKI+03F3XSBHw
W4uW3o0ZcBDCepMM1XU4aO6hUrK7/FDg3Q813qpqDdOux+EHp8qAUOEF7qap5E6Z3CbboigpaF58
gbcZCBi6ecVLkOSrepCMI3W1vc1b7OHa0PJofrCq0lgIcxqXVuXeebVz7IzpPYvqdGWk9m0WROHR
mYf1nA/XZjSuDD+h/dYRs2J/fE3myt93pftVutROWB4ufXvwWzzn7Q1YK97i5hSgXq/cZqwOpcuh
FrYE/FSxDstZ8An3iHHIia+QIFsJP02AHYJvWRVcwDP15NU7/TxEPYzLnvBpMGfH2sSNNOtOvQvR
IDSAYm5QHMbExKQYmC8JqbyFQ43AVSQ04HpjY7/repDel7qodtngTRosjYj81b+708fupLaEv92d
/ueqj9v/OX+J2+qvBnp8+Y8tChAl8SnbYHCmexSwMVL7z0DP+GQx5MOH56PLcYH/Xd60P+HAo4KC
f+BGbqt41Y8tSnDjV7NBwNG/mRf+wRb1p4Eee6aHE0JgQ2Hf+HAw/zRua0zL5krD1TKkDLE1j7H4
/8gZdNT8sgmqfdazaKbjAWWM4/FL/Sqg5kapc/GiDj1M3T3ze38jTfa9jZvLk7TIhdLKMbXbmcWO
YUFFFsnoPPvOpCuDKz/1Kie3cX1Ic2FQn/pG8+olEyKnPjmOpsu1IAcWco42SE+16ANlNeoQ1aI8
Xzea0LcSg/S2KUNzPYI92DaRqNdAKpOt5VQEggfnkrhFuK3gG6/6kkq2GBCuSTdbCf6tyMe5vCua
OfqW43feWAYFl8nSI0wMjm8SZsJMnf+2NipqJtaRyHXrjjoUQiVVLeubjvQkV3gaZ4H6Qb6Jnq3K
OEYygijA1rhIfSLeQ70lLXY19o6xcDvtuo+GRzu17mu/vWvYqsNieHRstGbPqbkvxeKqblhMRH0V
gXQ3wjDdGw20v1A6xxH2lKdjZxrCckv/mQ7NiuoV6HYkTl6qJEGOyVxlPqvPsACTHcrGVS8pRnbS
ifYKOnZEwErnZQahXpxMk++vJzJTC0jXJtu4BYpTSntLz8B8rKfqOATaVubpruNqt80zu1nF1ozv
slrXY3yCgGOtA0vUMHGq7Tw3+6CJb5WwvU0Ku1iFwHmaGW04pNmnaCXWyQigX9MdI4v0p4Za/TYN
abucGkg4OGQ3suKjysGEIR1qswaqmfKWvazq0wjlY2EkEW8rxguOhUOyCBP7zhYIu5YU/a4tgMrR
+UGkPxB4IqbuVDuDRvdfsx+oDES/0t+F03+lRNTbkuPKj5afk7aLUju+qQovXxlSxDYjL3IgrqEd
fDwz29bT31IN2cehFdBwHzoMG1kUOEyTG5pHuMlYtGTn3s1QFBufkrmkQWUwtGXuQP4mLLT1xs5c
1RZvvF24u1Yfngzl76wwO1LL85kcwKnUOQnGjTzYmX6Z+aaDQUzIi/DEGfQAaK9mCy5dk3tq/K6s
QNv57qMMPpfefHBzwNN2gvjs2g/1TBf3IL8MeHL6jsu3yFO4qNMlDBJjaZkp2ePUf8lC88VCwFw1
iBq+QHcZxbmOdlBroyUzACYBc71xI+0eqNyDABsjw1Su7Ci8iAHxn24DDOdDfOzKdI+bgcPtYDxW
WnTvefmDVgG1KjAJhtU305WH2tcOUurUKiTOAXfQNnOyfuG57QoiGyG3XnS3YkwO/H6KSvOZPkhk
KytD2ytJ+Zmcoa5zIdMdZDHzpRw997n1SqQfOU3BQ65AljJwYSvKzKAIIeAkF3fRqv6OviRhHHUT
RksTVNmoEJlDZcfXvZiJbmYfDM2+UjzNkFB6iQZId6OngJuzQm9GtvOotaazHqByBlEVrKnRYFIh
/JYPM9wzxKvsCPyQgY1p33Y6M3urBvYZDmA/DfifQ0ktowKCJlw+QXcCCU198ewADeUvv6p7mmFc
CVDUszLnFCjIqJwrhvVO+UWE1OU61CrxyBG/FPa9riClbTKl2xBuaaIAppMimXbllx6yaULrhZeY
sOZgngbYii0YqKDwiHkkuyHpvnFuOWf2nGxCoGYLa8xezKTfRPBUS84R/Qdg1WCkhYbIgbctyJaT
HGzhsU5MYxL4rEltfs2dTm4ryK1JMbwM9EPYCpg1x/3ntqN4C9ZrnWKzhv1qwIC1++LJVlBYYAl3
MpuuCmixXY3OpI3JUxhN+3jkEZXyNMCXDRVoVs+c2w7yLFWPLxISbUlFmQeZdkRGNMYS88g8bAbh
s1hgbeavQRtT+nlWeFsfzq1QwFup0LcdDNxQwXAjhcVNQLVS0cs7qJC5YeHe10N86CynW7ax/sJO
cKwVZleLi0uswLtlEj7ZCsVLHm5nw+ZluaHOQJ4sBe1FGLjyoPg20HwN2pT8auBEVy4rLz1zc92R
qlu0CgOcm+mr5mkre4x3fUZHUt0HrzrkYGHgVlAoYbhLBwFbuFWQ4US0hwTqcGM7nwMybMPELL4b
7gLhrkhMzxt6V0sIq9GFDrlvgUIZTwTZdIFUa0I59qEd11CPoXoQ+oeDPIRDvfMUGhluJd0n5lUP
M9kJyqOuIMqmwikXuW5AHBbjhTwCKCmFXU695rnQI7C2unfWFZp5LOpa8eEBqStwM7fjtxidjmJM
oM5jhQUhwW+znqgSYKwP/FnSkbkyP4jQ42SegBAF37N0/9Xl8+s9XB1BvnMeOYVQ2GA4nLR+nuFy
qjewEgfadZI8OOlj6n8R9j/tUP7DS6iT1k8nqYlPsZPSs3mt11Rou+e+Osvk8tMx8y/MUSp/8fso
+sev4eiYVw2LXP4ffg2TxkAo9HF41hlieu4ZRq2U94Bx//5l1JDnjy+DXmGqqbyp0nO//iphmUyW
mw5wJIi11jDyWpPnsH7oxWXEQ+G0Dbrud4LWv65AwR/pb64S0Wvb/UVqSH3VjxsEM0MiPvSvIpDr
vuvwqfjPDcL6pKu2J8G/CHx5HK1/E7mE8YnCKfQtpXThDVSXi99uEPRRkX22fkPc8+X/qHTKVn1Y
P31clFVPoLOhmPGJxMLho8/9/Mk31YtXWZ1ddCQQogY94EYxPnKkDbddrZ2riA0PxfaUZpj9m8nb
1ROlJxjiybdL7x3xn+XIv8dtlC0Lo/ZU60pF9AIRyLN2XtZvnC5Y07+yG5nO5DlYy5H1xLKMl9Ym
8QEzmONdtG4lYrabnKauf3eTaD361rrT4HNPRoWCIt4crgPhRPWb1Zb0BcZ5v0uqZtf4/rHldFSa
9mY2kzXVuBHpkOHKMcsHF9fhaEK+nRoRb6PZfM0aukN1/TnSB3vjBkHPUR+OcgPEdYnrPKL9pT3Y
ktuCh72hMzmJWck6jZK7YKCSmZg4cNWKWA8lDIvWqzajk+u7nB/uaLkm8Ghv5I5fGAXRHPfsW9lX
Opaq7WRSoRWHTC20KbhvshLFoJcrvRg1dInklApoADEWYiqKqmxJQam9dGU5UenjrWlQOkR2x3l7
zB6YI2n4fAuU9vImajgvF55/MOBvL1y7O/mFeV8zNDI7eYPVUFv36hjEyrPVZ++boaljuVncyIiR
sPD8lyQxbqe2QuIIYJFSqpMvJ8e6n/P4JS3q1ZghDZEwZ4OM4ytGzsek1r+17ezsklmSMY/7aU2l
FtnQwLqhSPYpSvj5wwlWwYxisnQqsesdDkZVYQnaBPr3Mkn3kCxXY9gsRIynZOoMRq0xr6PLFjiV
XyCORs/0dt/KRshl6VX41ax+G4aUPtVFNy06ALyrka4Z4Lqdz/ghFdu87M9l6XESCfi7t0w9DVkv
9Lx6Mfr4qkviqyb2470WGlwvHDQ2YVKj5LeTucw1q1skXbUNrPIa0/pVTQQV9bOlprSNr/WkfKmT
Ot7UGTeHPm5Wkq5GgmjE5gZESCMbdrWhX0wTa489Kq85Pvmw37dF9dBrw7ZsC9Lo5YbqEJ86IxxA
YTv4VAES83EyUN+ePjxzuHlvB3OpJXI7xtXE2asmRucoVja/1eReynrslqk/3Hlptun0Qw2MZTgF
WryZdH8fyuJs2MXFHACh2/NZI/e1GiaqJ5QK3fdMUssID8yMN8BBKuUDGgdLcmtYe3BjlgXfFEpm
taTHPucsih8w14dvUSrTlcwtuOvKlGel7ReZEEUrvW9uInso3TUduL3vb43C3kcGx6aZSgVmNDg2
F+Tv5JZzP8q3tIIlpV7jxtc8RoHcMkIZdYcySJNNPoivvc3Rso/Sr6U1PBOLfqMaJVkTyqFg1hov
U89MHP/8sJw6p4NnZQ7WkpOn2RyxQHVH1h5VGEe4LpZ1bVL51O3tAh/jxuL4bz8Meup524h6+W0v
popnqS5ocHJlM6+9PpTG2is0QRhuMC1vJ2BpVIvGop78mhKIqb/z9dzo7ka/0Sz8Vj1MPpuqkWe6
6szhnHbVrgzRkasEA2kpUrGJYztc1PRTGU1429L3suxSeRCi6DeN1sitpzlH25WUvyA70WblvNXU
u3H5dShESMRzqtF9Fw3cgg19dg5WyYc5Lbx0wf+d1JJdfq4C8UoDi7nqvCRfAKf/1vkRQ0b6WJgM
j9zidPrSmo6q8CmVp6lqVzL2IXNV2kkUzY0W9MfcKz8z6qXNwkKHx4jU4tBgCmxny9aSB47utk5R
LU6y1zgFjKE6ejqT+ir8LAjD3XinmxidWv9KS6aXLDK/zYbOdwntb+mQP5J3XmnzwZwkTZ421+mw
uU2VGwW/E9e5laSXI3JPeprpK1+Wr4Al9xHdEEuCXyS1aG9Y8GG8dlzVIGz7DDU07QapzlyNrj3j
A+5Psz5hmpbBkneh2rkF4/WW2/bWEgNrOw37oHjd9czoGe1Au+/S1WyHT2ZDysUTCZxDjfGMl/oj
L970AFf8nYU7bjnDSFhZY8zV2cPpnMtqXFMrd1V51POjTkA2N9xzPBYnhpoQBqrg7KNgtHmLzNu9
Ov44rUlE3k0oRYjRDHoCnw2E+pCHoKd7rx+LJww3h0RL+Rn7+RnufUS5viP4DFCZTs4J02HZvbe+
/8ACvdGr7CrNo25hhtYOSNkDV5utFrsSD6K+ZzR0Gbzq1rfLLzEbHQKHfi10BAKb54665GAbzEaz
tPVmH2oDW0I3hgt6mRLkkXTv25NSnYpl4pn1trXjcRmL9pzG/cX33E1hdo9DbuyqtEal700+gL2Q
61SHhqMbXo35IYBOFfKvLlOPlZMO20LTjK3DeH/f8YYuiUud9apNOPp2h5446KJ2GI+38iFTXOqp
ZBNkydpo8RxutdE4ZrATltOITN/wpB1Dw7w4RkdfYUs+ClNdvp9NatVgGlPthp1mmbgWdOb4EvXJ
o4ZLbqMVOItY5Fjg7HE341BcMPS7mMR+QEFTsuyU8q0owyfQiLT/u2+Azt+ko2+qlurFNHym3s1Z
dVa8D/LqWS+9nSWauxHfN8hsxJYpJbkaHc1mfA0JWPWu+e6nJLb6+GY2XNpyO/2uEGoR12y6e5to
+XHa/PfYLbgC/s2xmwaheCr7v5gu83U/HbwFcjbsKHpETFtRVX46eFMcgjKP6RQklJoX/Dh4E+CB
D2XrnNeYSlPC8fPB+8PFjNwuKB5XgKt/IN2DcPnTwZuRN55pqkXoFLD/6Ew28Ej1KSHpi2x0HrBB
jFQ0CjLaYtxFLivRMMEs6fVRh9to60c9yzlUOrGb7oG3lM8xRtITqj0WBsuq7xIWjp0t+/Z6TIPq
a9WhtLgZgdkoc6n9YXRKxTtZBebRHAIvbZN35zpJxIumO93GCIDFLHmSstVcBMV1GlY+Da3RLe4m
+xwaaKVmGI3bmbTjQ+dN9ks2MAYeTbs/dW3k7gG5U1bh9lq6MWyYKVavE4SwWvO9tPvs2dazYhfa
rb8qqqB9HeAVrKl8itdu449bNxmbI7p5dTMyq8soccLGFFargdInqqG0QgxvZRtG4mgUwTzJDapk
v0VjJQcsQj+JrikkIsFeB23RnN2I46IbGjK6ixKfVX7sWwpgWYTc8dqjtBT9nHSxFNRsIjUWi2yo
RqQbThHx0dEKjsvEI6cvyWDWlKpRseaTF3pxxsx6pekFrzF7U7HBp2Ifpt6Z7rqx/D/2zqy5bWPd
or8IKTSGBvBKcBYpah78gpJsGfM849ff1fKJj5Obk6q85y2xTUsWwe5v2Hvt5U1JMkEIGLEOeBT8
YRxCNw2qIXznSYp9vViWt6CNlg8ZTy+NVm+LMD5qDuvgXFDTjDY0J60aQzadop93KRNHjrxuPqXl
VKFa8/DpT3nJNDsew3jb5p2JnnHIKazT+tlyYrb1nng0OaD3lcYUI9LHYWW7TQfktpX3blTlh07r
vEd4ePIa56a+zo0Suz28gfIhaPWc6jPz3jVn1I5mBqGkmvIL7lBt3XTDtBs0pAGbMavrbj0FcfXd
0cr2MFdBAZTXbakTFvkl5NxbL56TPE6UdScnsYAfUCC+ioAQlXFRo8Z0KV+XftKueHhD33SK8YKJ
Knhxl3x8LJKGpXs5YYqKp+omGmCDF/CAsnVhWUPLtI0QsQGIS0fDaLdr3Fcj7J3Clntj4PiViOIy
SF7TaN7OsnGhVJZSfEAQWLa1sqJ4nO3g3lz7323qf7TTTCz+5iwus7fiL5aoFq/65STmkAVI4uAS
YYTHmfrzJDZ+gxRMNCwCaWLM1G/9rvNxMWx7giqHHSpcE5051+9LVPc3HXUQO0/TwuttspX9Jyex
+8eJGSMQ/OIKG6WbBscw3KQ/jkAsN08aapr54nZhc4OIOL+D3+i8lJllHOcxTV9n0Tlbtxv0M0qK
AMXcEKG9GGBKeGN3H+llxnJMcHqQMrJxtK7ZFHEdsWXQr7Ms8s6DysuxVXIOBg1eP2AeXZPx4270
EiGERgM/GUAk2y7q9qIy068xPDR2bGOw1mfGyQ1JXF/yKAqPOPIWUpm6ZI2qAKoi+iSGG/OTZ9R+
pE6oIHeO7CJdDkltvCpURlBTjpM/qdygKdMvWDRxSsRp6nuyxvtBzBCTRIUZNjsWm8mi6tsk+ahm
MVq3XcHsd1lCmr3qNZrCAFH2AHMPYWtJVTclRXowFo9IDmaSN6EIX/R0Psa92WCfKGDO1CQi6Z22
62S4wOjvzWMU6c4mQ1AtNMgp2BG9Nf5ma5dmhbUZDCPYSzG4K/qn9Fjj8ICmO9wuTYJuNgPR0GuE
Q2g2LuiUhA0j9K4Tk6N3mPnpaD13VjxW5pooLHFpQXGvZ2esDnXUHnsj+VJXDsgKAgaVaTLZiBDK
XFgvnY8xPtpQdjbrTEv1bSDFPrG01azBLpnsYZd3acAQvq/ehjJMzlNnfWgphBPm4kzqbRQjIwMw
DJj3JJ3cEkVjrtJp2hlD9mR8RmFYHnka6McuQy1uSsN90sPWYXyBFhKB+cQpjMmeMJGKryNlCq1r
sEIiWmjInSK/ak3xYdtlv23leD8gKWOuS25OqhdIZXP94oTevsjL3WDap2TyzuzRd5HADblkIQjy
QELIQaQaxpd8ibuV7IiUsTA5LfZ8tmmHceU8Ym7g/p8sEJ8Qq5Y++JIbzbtJiMfai9yvkEB2oF0e
awS2UNcrjD8VITldAVfvuk6RNvnMpPuvlquWOKbNai8op5M3cuejZovTk5A1hU0/0/ZUXmCuHYjQ
p1Aa8eHfwviH8JJp/t8dxii1/moezat+HsYoKy0HfzZ7JEJVlUfk52FscuQCsJLA7ihJmSz/chi7
cHopfR2hzCUWf+Evh7HDwQkHQ2k4derYf3AYM0b5Q1msDN2kLTASV5Qt03U+s6J/2cQg6sdWpSf6
hW0QD5CtniVTPVVN0m8GiypIz4N0rwUIyxPhPQXdQGYIY1B0ys57l2f3DlsWfArGuu866C1V/N5r
+qEd6hNI3NBvILKj6GORJ4eOlHLxZXSmcNcaY3uV1/WhHihKlvhidtoh5+xuSWAVTYvxNEjQ9s+0
5k7r7osYyTBlo0NSQDfK0i+15SYFh+Wjwr8zzO6VsYMGGKS4nVNN8FHRHrSInXYwJERvxzELWnmV
JS9ZPH8ZQx1mhp3ctU2ir5q69ZEwXOV6jTqUnLq5LI2zXlmXCFfBShcQPnC0D0V/5bbBt8obr2JD
fjGYud5aUz1QDgXIKWiVkXi+IifbYFUWb8g1Vdihu17a5ik29G8hY/YVZ2XtIx1/nByNERxQjJIY
vjR1z3MWRhvBvyHQ03O8VG8thJztEKTxBgBz7kdGjZDEDpBsMoRu0AVwN16gDHxhe4zSxTFOk1vv
OistVx4LvNUAacQlvagO7EtqYOOxx2Xfj0IHbuo9JdLb9goqNEQ7vXNhDbvJLTtLCE/FdALgdBpR
amzGoHqJI+J8qM4TBpfpU93S36Rp92Iv4xXBk1Ci2vx76TZnQ2DnjFIUopEVrYtObhgLdz5R6Ps2
wOPe1uGDkTVE+SIyZyzhHUfZVxtYhd8ALN2HwbwjemHa4CE4zqXx6av/mKzqaqH+l0n3zK/tixIp
rDW4uBiwdoL17W4Y6Gcnb8of5KkUKVAhh1EDn6c1SQsRs572O8FP+8RpdpJbx+/6JtzyB8+irzdV
iVlST8nKIZP8XgzNLrHTV2sWOCg4lCvXZtsBDLsrS7iSRX7bJxEg3DbdWt2S+VzOmzlyKoBInuun
S3OuvKwFxh6AiJnNnRGWV6ltQVbGfp5SkFjpeEyiLvGjhthvYCY4za86pMyIc2Jn/toT5vUcFZ3i
LnookySpAXeGSlQIWSHn2q1eefUd9HkGIGKKt52pb1HTEPphBN/TcPoIbE8nkYLlkF47R6eYnlrZ
vHcp/VpVlrfcWzstSm8FcmO0JbbP6mtdTQAgTWcgHVNvtq5NMryZWfzjkCU5yDHNKdmX3WRtooC2
2cucxU+GFooMsTtdOW1NOb9NEk3ONH0hqmeje/MjbzRL70Q7zLF2KupoF6XaoWDNLgmLC5Ns7WnB
PsnnbeoSKDHBXJit5WhW3bOoG2QiyNSMfNoOOT2FGdPbxDXGi9RQCWS7kQF6XuW8IU8dAb/z1G9B
DfgDbN1YI9ojLZz1nLfrKPZe8iRBn9BEyFQ8gQkkRlKXy35FdsSeruyahcbXFtu/DoF4nhwCBiiQ
zGo+E7x5GBvavtwgOgIiP+8tEDut3/dt87Vvhgv63XWbWA96HDKznZvTkqIWs2xSh1I+hTrrrZrU
jS1pjPd2H3zUUiGvBhpDCJjw5oa9CJknajUsBzO/CXScTBFSlSRGiu6SvxxZ/XnE+jtpBZO1lFia
0H3NTCJQpKvQgiwI9Z3n9DfM6Z91ozoE2DvAoDqbNMk4/6ZCW1WyvDN7r/PjpblYeohxOdkTHLKq
4uE6kMsDc3DEPN1tYPTHph7Qx9hkvnjzelmMrZTNxtTEgVn5sG4JwuAUNree3V3RYm9dRgW+h9Cl
rvT3LGgNhtX9FzOGfs6swjyga7gRZL5WYXgrFvfkuaS9LQsbFLmMkPNSIizRIadVmGxyLfZwP9s9
ISLTjZlp2zTDc+2534mmYFNSrVv2EG3jasz6waaOAJnmrrrpHPdxivvIz22796fc9ogJN7KXlGyf
dVgN35O2R0SoP2V9gd+uPEUeCAf0GncYr1ioNd/tECBdL6rraJq2dbI8psJAWzakT5zAm7awbxst
KEnz81412TxP9XQ15hFL1z53UEW7fieYSuJnjiaGN7AdrE45Aa35ENSooVnV1XCaybJIn4aM1O61
YGG51ZZu9N3J3WR6fGBdiVtwzJc1iYjfrMHs1/NQ4i1vxJu3LBfRoJWhXAjXoSG27FCSVWASlddR
k3pdekYUwnEJ72SNjv+5TIybkuQ5lsSEwpbkukXtV5spfqcrh9R8aSVYJoPzq3EgUSMtfJxm7ama
yocsxnU0Fua6yjDgudBrhhTTvrW4MDCo87M+6W8btnsbmwX23lJEc4k/k3hUQbbxD/zR/5SiGKoX
/K+6QvWKEpUYSkX0vYzuVI3067oc3q2wZs/0LuI+X73Y2+Gm9jGS+d7bw117Rre0Kf1uH5/s3biO
9uU2OtrhPjlHu38L3B8FLrPYvylwu7cibrO3vv2L2S+v/Fnk6r9Rxjqkm/6Erv4scgV2bAitFiIK
hYFD7/DfiYPuOLYBIo5Fvfz8rd+LXDhMVM1S6ZAkkV+oOP5BkQt17s9PEbJw3OJYm+Bf64ya//gU
oRQz02bKyktPzbacYT/bybWw9MTYdJSwN9wtQ+cjx722q/oG5+5Xi+nrpjHyh0HgXia04lQbzSsc
mmPWFndxHq87zUAnm5BwattnPjlgGp1xF5pDuG7a9MQ48HlJig8vJuazHIyWuC1Z3trhshU5HKNo
obNGMkh+JRiWrEvOTFdXE/qUdWMOhXg30GwSNxBmxARRyR10x2ziI4LTLtylpCgtADQ8iZO0Momk
QZ7IRSWH6uCQU7OrHQIGM3exHsygwz4T5GPSrz2Pme6pSeL2NRkDFA2DmRvboR+ShaIouXKIjyIa
xLNbVm+NTUR06zYYZApnQNrUQM7b5Mz4Q3y/03sPh281ZsWzU3HsEisOdY18jyqWb1UAec8Za4CO
bjZumX+cma/UvoGYEbZrvKmXgOQtBCdlMDwaevCkNcuhc7S7gc1eMYwHjClrMh1P02hfvEHifK+k
32QG0on4rdLKq6ynLCm7/tw73IyOVu1dVYU1nrgbeu0gBckBATRZpZg1gWVo456IAerNfI8w/hR6
xXVuTNd92bzrc3vnRdneSOQjy35KD2cfiPAiSbtY1Vl1n1ULeLl4nVX6brTbu6ZjUTmNB2h6zzn3
Pc6DN89tj1ky9r6bmwbQ6+8FgQtWJq/Nsd+wu4cAtfgCn3UQtzde2r2SBUll6q4rTRDFEV0T7nZx
EQFjvLouIHi1k/G8EME9GMnKImmB95JlN8v8KLpOAiI7TI/EVXtL03Wkk9nBVvpi2MnWjbtzZXbv
YekmG/XWhw5ioUaQTCt2rpxIPW27Ve/p170RYcZOrhtJhgj2nm7RHu3IPGTk062yvmREkR9aoQoR
d+UF9QfOJ3qD7Jk25rHUIzIPtG1Q2SdsG1siG5FtDCgdZnEaLQTTfBO+VwjkkuJEyuoRTZTfRN0p
dLj6Ym7QKTqULeY7ZN8fjWPcDd5018yptwrCwb4FpLSL5Rhdy8CCAWjklybTkwM1UK1IgCVIbrWx
WdlTfdGxiY+CR6pXkWiYrvxaeckrTOUz5nIdkznUYyrI8HZS7vOJJLwBYf/axJjeJTOPH071qgp2
dHPzVjODL4g2zqNytbt5/wDikBrIpOtRzndDeeDFpxte+eK1iH1/NWjFxojEObCsO0u56CFxIXGZ
eMeZnt8kWO1bi+wclrV76MYaHlsn2VIcnjsM+tjYfZvSWKdf2vB08G4ZTAiJkLup4YT5BUZ/Qzn+
o7mFgUVqQ5CeTJAAAnVULuvrSrECxjr/irGCN2PRgELBE0gUWSAGMWBn7oGEUHONTwMQmuIQBIpI
oCW9XypGgRHZON3BFuQxUvKU8oVlxUvnWLi6FeNAy5frXpjnCfiBVBQEzcW0XmEQmGIym4tkuJMg
E/CfHDVuYFfrs20GIRmd0XiG7jGvBkVcwB1Q+Z6iMBiKx4Dspt4m/XwqFatBmvElTevHQfbSB8D4
EEqb513E7HM7f0ADHCjyA+5MhNbAICikCzzZinmpSBFEDmZXkU1N+e/d/+Pu55r8m7ufk+Oj+Yt7
n1f9vPe53NnZKqHw591OdfbLve8xbfKkJdgJG2ru9Pu9rzLPGYTBkmUB8QlZ/GW4xXoBKqNO0oSq
KP7RcIsZ1p/vfYeRm4FTC8cW4yj9T9XjYKCjqDVvvnBrtVtdy4pNa+mwmVLTDeorV08mm6WerTE4
CkAzj8DX9dzegYEGsdbgE4wj3T5NitVOYgTMkhaMNQY1P5vNdmuIzrsG6Ffup6Gubg0L5Im0Ou2K
0BmbXLnyxVMcYw2gcQHqACvscpvHyOEDRT3WKo5LExDyoojIhWIjhxWU5LgcMY26DLR7PKCkuRm3
qaIqDzmguRyOot5AXNYUexmpSXsgShJXgSdhM8dAmi3hfoxAm0t20ZWiODe61A6JIjuHXsbEQtGe
9Z75lWHceXTsq4BRCGXTiECvX7cKLxAAjdbxDteKIg376VYHK51DkPfATJOB+gXC3S5R/Ol4GQ2/
AElt2Wp7zjxpqdxvi6JWE8gJZ8sYrqBZlT4MxdrX+o6IG/K8PLDXqeJf24CwA5osR6vPIHJekpgb
wVHM7FjRs0d7fl9i41rEDf+D3CaOwszXgYm4N63pavOOKETaSwDSjM2I4qwBFLoCX1RV7gxn2qKx
3xmocnrVhTfLx+KyBLed4aqYbFKQG8dlxckhWfStQuMnOamHY0VABafxaFjPFWFNvUbmam1Vm2Ey
7HU7fwSO3BgG/HgjCBVb93vvhOXaSXFoddaCdV3vMpgWxk3QzKTNSzK9AcwgHl3e3Jo8WYHOluVR
SUljkRGO5PAwIPhJkvK213NySyRLGDdjfVBvbQIgfbwWu15IskzCZ/xy3qrLWzLWu4wiCUWQi/wH
5Dq+4DgNwfLMi753soLeKG9ZGoTMouLaeyL/4ibNAabULVz/0W24/tsJPnz8xtILA8JQvjkTYrB2
0uJ1qwXLPuiYehGOm26q0KLWNHoscmKpEGSGFj708N4JHJ4pnNl7I8/PHQsIvy/UJT4tGmNfIpjY
J17R9d5KEb0Wjhmsiil3NxhRTrk09sQGc7aH3mUq2pZdkIEON6LaJV1pJSvYxPYYEG6YTZdy0g7o
s5DTj+lXutDnJDffq3m8SSyUvSLMPzikrhuDUUwzutckdembxMXFj0phgDLX3piV+S2xYhr3Ktqb
SA7GhGwGo7iPiyxhfLCQxc4Iu+UGYwiWJNsqZH3SBfK1LWvAkREwtCT9SBbMH7MR7JaeXTh8RQlU
WA12QpVEH458qONso1XpczGWz8TOYHEYrLdGT74UkmkjaXtQ2coAfl1pnvvSfUoa7UqEwxFHiQ5H
wN7IiIx4cl2RkIK8A2IA4Vl7BRiNdqM8lQ1p3aPTjqsodF66hVIhDU1vP1SOt25zj5hgwYNXt551
MdISn0yNrvLbv9fi57Voc4v872vx4SN6+6udj3rVL9cim3LDZsnOHfbp4f15LSoPAmt5BbgwuOsw
vvznWlTB17A0XJc2lc7XNrkxf2+HPQzOKpkJqZTavyOg+gftsC3YHv1xqAIx2Rbqa8EnhjbxJw9C
kTFqyfg2LoMXpe06MYlmtPV9UhTasc9CqLXW4ttKtBgM/WEaZ7FimkRI3+AdOzuVfoWbYBsm84Or
lbBgEh7HQsTZqpT5Jumrr6Ex8ciiF5qAzMiy19am1j+19DB3c56MO9nIAPf9DP9qcmAvGKZfOUNz
5iLvV3ZoRMTrifeOoGmdxPp9NRZ8rhNyIkmKTcmF7u9mMd2ifJS3Nah1CFuju0byRFIcgqlV5imG
Ro8tYvY4LHO+K3dKyYbstb1InGCTABlYuX38TRTGxJ034PrtqGGZ0TE8hslESp+ZMkYOCnEJDAIt
pr7g10i62zsiE6uKL7+oeNuGdCa+CuSzRYXfNqbSZpKHS3I9AQfRcSInt2u409javnUZEbpShemW
3WCjpEzuSrtVc4GrQdMZ5kqTeL2cT/miqt6GfF63Z2HRfEb2utpjtbT3Hlm+mETcg10vN82Yzmsm
+M9m7Xwtyf+tmaatGhKBMbLfkFz1EA5EBY+UAQPZwU0FH5EsYRp8sBgqXpiYaAdsVfmSjNlRkkA8
JUQRz2QSTyqcuO+8bUxasV14H5WKLxYWq5tERRozKihXxGQABVOZx3E80h+pHGSDQGSXYGQAYfkK
fKPKsSW9BdEFvYpKUl7a9lkO7SvdqF9aRrlJw5iErDCGGkcQc6kSmXOVzTy5Mly3xDWXvPXZpwA9
HuA+Ep0FqRd6sR9a/U2lFOu60q5TsH21qu6Fdf23PCysbWCKb5XSu+Mh744FsMpAaeHxKQ5bqfTx
Sw1kMuVx3fW6HuP+VkL6WGnqK8s8aEplHyJX8U235IOABH9Gim8hyTeVNt8LRmcjkjZd95KQ9QLx
aqurFB5Xr/xK6ftjIqFlFIAgxjaDvprPSDCRnDkoZ0AAh5TJj7kaMQ2EA3uYyJ0uJnYCA1sBs/uL
TN2DxrC8N8jUoCo7e/ydrdXdV8qZILEopLl8drz8gneEK8FM5nWAnSElQFJX9oaie3GU36GcuDfL
pPI2reM1ful11BAJVJO0OmOU27Va/thioEjr8NSxWNkLrBUxNmcDq4XVjwQSKPdFM02XPDNo5vXs
NcKpYUu0f1IfnUNSOyfDy69jXB2ZsncALDQg3qUL5QzmjzDCBoIXJD70OEMMHCICp0imLCMuXe9K
4iKxHPu5b9qLoewlEUqa9aQsJ3Zk2etG2VC47vCS9t0uZCRCybuwO0E9NMrgeVE2lrrCTkVOJ0cP
r2NFNlGjZCTWpodgaT5qZYlh6q3AhHA9lV0mUsYZjx+rP+ClMfDUdCObNlPZbFgcW+t0aOQ+xYNj
48Wx8OTEUQTKWtl0Mvw6Or6dRZoPAe4Zv1GWnroj6gef+x0gCWR4OAVCs7g1lBGIDch36fU7Ji0z
vho32BjtcNvgHgpwEQ1Re9Y/bUXAwmNlNAqc/DbDeTQ5sXaM8CLFypSkd9NR4lIaQoLsYU7aflJT
18tiTDeZsjUtenTGLg4FhmpsrTXZ93AJHojEo5cXKjRBGaSmKPnWVKwrSlSuujJRoSeilJcYq0bi
mfYdXitHqcGXermdlQ1LU4as1AvvJ0DVvXJq4djyvHxAedQcgUdRRoso9EngmXcmq10/k3C7AYK/
5LjAulB/o96M0d5gEHNxilEMPRo4xxbiWJWUc2MN1rbBWzaU7lWM1yxpg26/8BAhZWTUaeNImx3x
dcGhZoec2RMjRIl3rRbNByuJc4enbcH74iiTWzvD78X1VgI9ACtAwgxjHFgzewd/nA5l11JwV1z0
nNwVCHjsB6gHMkzwzgN0+DPpOR9px0EZm7LcQE+CNECP0+HNY+xCwlPrXRoP8byBfy/juaVkZ7Dr
KN35YBD3xLa3sVksS2eBLjGHb9ydzaaMo36lRaDSdHQWF9eFlIjK1dg1bfMSp+LeJuPeR+v1KJzu
lWRvaD+cC6uWpgFmcCU4QQTOO/fdDNxp13gN69fyvUmgXRRu+a0FgYNnG+pNEZnMEtPEXgdMtbnz
ECnwe2MVXXUeu8NuQOrBMHXj5f23QEmgdKf+ZkbFJUk84pi1gIUr6RyiYltqhXO09UrmoyFarFWQ
9DAKOk6wwLWvI4gFzM9iTHiQu8o+3M828i6Hc5I8EPyHxf1cLhGwkORL6lRfbepmE+bILgjw3Scz
70Ew3Au7EtAp2VovmnOouoiruAAsmlEawSpdCIjVRHuBZLoO5/x7qqcl49bxMjmg1VstPOlmzGao
q767WoF1xfJex5LxqlbncO8KSQQMLvYKX7WOXfy2ITiW07z1grOFBiKKmSL5GcN/EMKpV1+XWVay
V29iPYTTzIYARLTw6uj0bx39o45Ggf83dXRfgqH+K9y5zet+r6ThASkzL3JVpjg/fLk/K2n9Nyy0
iFzZLUn9V1OB6f5mKV2VLozPOtpg7PN7Je0QDygMlK9Mnn5A0v9BJS3/hKz7VE8xq8J7ZeBSUOOs
Py6WxGAjyQA9d1ns6IgkF2FKSd2SEohGDBq5ubiLkiA7W1WWbglM2uu92MVVd4lYUtB0rr3RwNqq
KebJcWyrt7S3XoMWYWPRnadFsKiw9kskG+LFy9mPnPCVjItbPDjpRub5G/ow6ZOnxl2R9ZW/wOtm
+JSRwpZGnEd5h+fJjK56msxTgcLAjZQ8RqnQF4RGjZe+S6wyZiAoNwgIbxgCV17yMopBGRQ5nWwy
vYweO2oqCAvGWPpNliW+Zeopf4kc6cdDKg6YmU5d5xzMIH8w5+kDJce5tTylCHiguCkhxYW7UvZX
0l4g8Q3yYpfOMetg03iR/Whiyic29csYyW07EOLUoFRdjZ57Y3kN825QyGN6nYw05JoI4JMBmCPC
CUxXoz17CjRcMpLQ7eTEiIVEsmoGRJN2BwIP8Pali4DH4eVbLfG+TE5+Yw/9ycLNe13Vt4CGtzkK
K66VC4z8bW9O9BbIHxKSQEyW76aAk5xpL4MVPHM3bmVPxpzHcIEBQv4ez/0jclLkrwuAGDEl1/PA
j47s+Vt9CljfpzJ/qq0DiDq3g52BdpVKfbgOdXcbIK1CySpHf+6H+2hONvx3vI3RiKy7unjq+TYC
pMB+GmvTyhrLnR2TKdi4gpH9DPiX9yFJNGeV6G62LmcXk9hs3sUuVskx+GbVFbo7KR+sUt5p9KK+
1smTl0MP6m0HKk1FxUiZcachKbOh15K+goRtqpMHNyi+ujgJiyCH1Zl+S4rmKfRQjEjDHrHSpnJf
BWL0UfC4iIWn0Kd02JqWQvc5CPLKOCVeoseYkO/tJUXiNOxTw8w2RT9h0sOTzM60WlsS7ZzuVC9l
mW88BEkqbDzy66yNfWozAismQZZFC6pRY3u0WqYZ9ZDwqjOgQ8g86V1Q9a7PGpfaNkbzB4TWJQ+F
NjBrIHEQ/0GRmaIMal9i6ZxI0bkrhjL2ndjLfU0syy4vEuQPQcNebS54Mk3jS1XU9+7AG2+P4Xpm
G6f3wbdg0MTaHOw7r3Lv+jHYjyYtpgiCg6Po+jYP/Qq2wHZilus3NFXopNMWQQdhJ/Dz2Z8s8xuE
7tYntCOE8c2rO605doO21lM665nlpVCbHY+o7Hgx8s2c3rEBFiiu8Akub6TyvXWDfAin4SHN4L5O
7g3hf1RGIZvB0YA6YsbaEzaWAvCss4mWbhvNgzyilRnpV5E7ozYMWaXMb7yv85HJI/QvRMWkLZtr
Q7M+jKk9Z7p2nkDob2J3LjaMBd/Ydu3nqrN9mvuZt4vxGRYQZzU3gK6NerzPnbFkpNiJXYA4XEmS
+X6GrFiPPU8gv/7dyCb8j1D/WaCpxjvT7upe/2hzHglL5jHcP+exaurrNgMubAjro6pQWGvjtk0m
iX8+sxS6HzGSoJXTl+YUCCTchcW7zU/8qi74R9MBgeLuilcrz6hBNM7gMHY9fxgI/SJpaR/gBt+X
Yn6rJdlAHkejlWIxB47Essk6L110abHjr9gjuOs5JnQiyUcYXjAlW32HZeGhWjgrS3EvwprWZmG0
qJfOW4imvZIRq3krXo8xMdG23j9qchF+QNmwyRI8xY3NQ522wesgl9emq++i1gr3YaYxGRb9hqFI
CpGmv69cka+blPfX1Jhkm83oj9ALV2HevGPV4aio/DLyLhx0O9yf8Jyt9oGEs6fU6J6b2kWgk/bP
lscEWBijWOu6EV0tbYK0z41sf47olcsQu1ImzEPTJveFNHdLxbY3SMXrmGJG9hg825kHt81DbWdW
cuU1xtMgb8f2uAQvY3xlReZtkdC4wXJK6BxjMGdSFN1OFuW1UaFLrzLR7vVEfggO+o2YvJshlny0
LTR/mo012JFLvMkc+v7YstalN57aKmMFbOydKeP4jefNMot7fEZXUUl9GIf9s9Phl9br7lh310oT
0NlEMIUozAhqYjtfevHOqBsCdZr4WczLDjZ/cio0jv9Fa87e7Ghb4FLp1uymZLUIk8DTyuXdCvLN
WIVH0g81v/2MeRCfkQ9zz1SbhurDVXkQY9FhGATlbTvPSQnfoUFzxdioXuZrEak0iZb3mdm73Icu
A3e8/rBh22PQLaiXQNBe9IW2KkADcRhY+COPJLait2amPdNkcB679YbLI8H+Fm5zW5xRqRw4jY4y
4NFxLbjgHWgrrbHMp9ipOCGGOlxZrbaPauvastpwX0T6hznrH5DB37lyYHlE037WtXXuwgzCZmF2
fI9YG8p1OmVfp5jcXDuM2JAkKPcCGl8yDF/gEA07LDjJZqSIr0nnAmi0ICvUlGpXXoVKCvEOD0FY
wR0+5L2mjQbJQc7FrPCFx30ufAzmj/z4ucVF9gFz+zgQ+bmtkIQ0rdwlLrN+Gyvatph0NkWNXiE9
Rfgo6vGl6Cb86JkC0a1lZj/mHmnDdYKHYkkPoyW3TQytnc8JvvNpK7rqgWCwrxyuNx3WB5/0W4Zo
sr4DurvlgBO70WKK7wkw7xFbcmdBQyzx3HhJfqFHIwEgiPpN7KXzppk6ngc0N+tILhHzuHaTTyQP
VtJqGdYbb0vLEjAbsVCSSMmSTl5T5L40TXWanMzxy1zbiJh0w9ElfzjZDqNxh6Lyik/uHpWTDlA4
UkM8BVZAXyC4alNxioPuKsjKZ9qfFwIjuCMK57k1pnM5wasdYzyViYbcwbPDp3wmoVGwDVziY2M1
5ykMt9VoMIGKXfKTK+5oTT721XBepmilF/F7ZtnAwwQdkjmfhsnt93MzM0Ob5DkXLliNnINQQ4ds
xwRS2dY+LY3TqC9XfWOahOagOpCLfE7GPL8xUaiuw87VAI3BQRgiVEgDc1Z/hI60Aro4+1VLFCwm
gn3LZI/dY/LujNQw7tTfOBVcca8Zyl3ote0pr0lyq80RUT5bOLZUGJKgI3qfUiXjU7aEbAEJk+y0
Iz7cfCej8uB9Cp2yT9HT8imA+rcd+9GOsWr43+3Y00fR9c3b/1/327zsZzfm0j0ZBvZP8Kd/3GvQ
qNkKwmralofCTiIS+H3db/3m0YnhMbE82rjPHun3bsz8jcvcoIUzdYd9BO3TP+jG1DL/D1JRhIIK
5020o0DjbikR4C9OlknXwqFpiv56gROgfE8hu9XYzX8YT/+nJFXo/299AgrdgPoBVUw3DPbgf/xC
Alp4LROrojK0vcc0qpmj5042L3s2LmyVza7orcP/sXceTY1kWRv+Kx2zTyK9WcxEjBzeFVBQtclQ
gUjvff7677kIqjGqmukRC30RzWZ6CkhJl2vOPa/Dp268wsIfpx5T0W9Dm7tbnoX2UYmp0rFiCSUx
JLv+wqdo14aMW5I5eFZ13EZhpX1v+8K0sUcu2hbDY1DYVm/JbY+k+LwLY5IdgzzP1HnWxQ2m1RJ2
lJOgclM6SIMzFyoemVyqeyPWuzOL2+e53uBnMVVyONWLzO21adzShorxdqX11WXaudwqRnTSxuF5
WUcdtEJSWn3nQlPklVHlDymHEqLlawvsM+20fUMyQdhx+8EyPYCZ7C6cBM+Z5NAdhmKmRTAkq1KZ
xUPx6NvkNeX6maLmj43WXsVgtXM25fCbFaHHdshHOZWsvCQFxDCP4gAxnZPgLD6qFeWqpD3qYYVP
tevLZ2ld5HMcTIsJdzIDsbh9Cn3/rEohO9ESozlF7bxfp9bNoEh3sYpMKQt9BCN17akWeVUqIh0M
BOdwSYI5lmA8goQGhRDym1KvtX5m2qn/pfJajJxQy82dXiYuFs0Qo6gC21ZRU850qcQtCIf0gsza
I19SlLNXa+9iPWn/SBtyK4O0rv75D5VF9n4uC5cyQBqdxcG0fjvFiqEsPI+szTMOoCW9RuVqvLIm
0OwhO6ewEyekP8wxHJijfJ0YR/pCm0PHmkb/Ya6/i3PDQ08TWl3HofOBUIzz7O37MHrCDb3Kz84o
7Y+GmFDcyCtc7jVUI7YVOfOidfEWUk0iTVxbPvWs0j1S+BuZUYGxlTWcOS6qWWLTv9d95iwqlUCg
us4Xrj1+twzXoDsioScb+1uYlhb5JcUwtSqIajRr8VTxaZ8bfj/H42y/U1CguSNFpO0io3QORg3o
jfxzXTeUSVGXTAoH9VKSHoQ4ZWV4h0wyOZ93nXeiYrLODQGH+5YqI0lCMotaYudoIO8XntCHaN6N
B5EHl5JTrlYyN858X46YaJZTYJMkh1e//xO/3USEOyGBVjIucLpD/0hz3m0izqh2Tp645ZncJuE+
GwEBUiVnuxT4cyML9IleeGzXP3f0TbOKRtqrWfXxNd/9NaUeD4k28qqzwtO+Ea487VEbIU+zDvSk
Oc0KGJSeSTfFIufSiKGJGno6nIxlg5BHMk6ywL6TA7wdYFg+ulgu5UVxqmbmpeyO94ZXfE+6oJgV
aZH/HYK81vqLfuLPv+BsWS//4BgO6uFsmaz++Y9v2BFtOJD5nZcDGbND1iU+6QrG5I4uOqc/26Mo
/TmccDrEBYC9CYz/5UAmDRJuAnpTJBWk37wVl2qKJgwCMF/nhzBx+QsHMlyCNxNOqDeI9KAXi++L
peK8+I5oUJf4i8Rq2J9jj4IQyYab5JbXtUqCe6gO9WxU0uw6gGJ/rtZJclU1bnkgyQoCq9FVpgpx
MfCw3HpS6NoZngbyvI4RmgxWSLAQJh61KnM9LNofTtPl19kAjywq4v7C4Uo+RQFpTZ3Gza71qj0t
5Qb7rBSDtsDHXMoruJl0qfcF/RXUKkPV5l7rKrNKUW4S/FYPYkRW+yG7A+T2Q1LGr72iKRe9jh01
JPvgPA76ZEoZ9B07l+7A6eyv6agGNwVtulNfHdIFtz5Sv0TUucIQnAeK7S5orDgHqK2ESEjFFeOJ
qSM4O7Fg7+Qp4ehY7t1lFfQvPQ8hVTTJSQMdIIL80wkWUA0dyBG8IAOCkNzo88jy5LkKdSiCQgRs
9pXRPM0Et0gWLCN6rgl0X/+7AQGpNx2kCFCSvCK6FR5P81ywlVxoS7XgLyG5MidaSrKU6XkHkWA5
SSasKsF76lPzyCQ3GPiL9pojyFG1oEn5boctPMwp/tC4u5v5VSa5ZzrcKpu+kYa3M59Ee3BhX+Hu
157gCUeQST3K+J3bZ/hUgSK545mR8Set834GER1MW/uhaiX09+hecnN2cd8/imCAmYIKBgJWE1gH
PYxb56GBZAjQpq+wN3TOMfiElJcIrRVSUEEzywThjK7it9wbL3WYaODUWFoJchqBXw4SDAhrpl1E
9jkX51D7IaRIw6FVwzOxSLYgAm8E2MVTboZZO3JTy1hJiD+DxibaRBrQsXFGuE5ogN3GRy2ZfdhC
QrlQE+VEs+inx8JSzpUVTmzDDvYHI8KnAlY90SBcDg2jhdlcEtrlRSS+0Y4bfHofAQ548yx0FrKM
LgzNCoNMeXcoDVXBnQwFZccCn8rMVM3Lv8RpSipfoB/2tkPXEXP+69R3qwls9AMlS/ERNULqPMdM
ZqrbTUddTifa4K6GQT0IJNs4jAzjuqxduBspyaeRNrUs54wOYcyF20Bq2cH7s2LzULJL/Zw+DIQY
nG6muRJgMV/qV20kKJ61cQLdG4I30SpTWTKOSryFjpQhOy70WDksMvpjXu1gwnBXKe651HkLLGr6
hd4FeJ+WAVK2pNyvBpBI0MaZXcQ//NhY2FnOUmeZ5MJMAprh9xx3iV7YTESSZc8Qqinnfoc4zRV2
FPTcvCN6gxi22+5ZW0gZ5DkIm4MzAtkLzi0lAjr1/nJQoNCRQI7txTDaKGixwqC/xP21yvT9wXMx
yhCWGXmRHnvCRGMQdhqYb464rivSvi7MNjKYv6YECjviw0GA9V0uJdqFGtIGYPfDejPQnamPf4ek
0TsXhh4mzh6FFXqPFV4fjs8yvrTw/xifnEAw34Gq8XRs/O1bpv6Wqne6LAOajRsuteL3Xs5Qbq7c
PsE/sC0DZxS+Nz/PUGRtEPHWxg1v/Bks7rQQ2y28IlXsgRUOvpc7LdI1cazCrIPd95ela4o4It/c
ainbKMO5VxNWp6sK7/z1rRZmaKRao+qfJ/Kou5wttfG9V2RQaqNMU+8C0xnjaGwK87vp61154Egp
JjNdL3W4r1vVV6T42ZXjBAaSba3psoWWWvVtpTUYool4OKim8Lh0oINeYAi9QBNigSuovXlh2xyO
nnLeCOAhHoRd5FIViETQfzErO5m7oBWqgC3UJwADJKNv3VkDsuGboDKmADu8ssV/VR6WkQBCCgGJ
NKqHtZSASVh3MceGvWBlAvOkdIKMxjnUvZKgPHCWPDG/6OAuSWAiJdKsh8Htz+i8ezMHjIZa8yoH
syFqE/BGwDipAHQ8FWiH4Pdkyq0a0iC4Twj+04IDQS1aRGYanyQgRJifEmPg4lmjV+BLeumhFOvQ
8+ZgSzD6Oc7H/FSjY0X8gq4AvYmtNBmqSae3mAQJoIo7oz/tUy8+wStkPoJmEbaCmYJCS7ORy9VY
lQNhYCKJvmoO4ircl0HFlKie5RYKoEFyproAzvCzXjSZyFYQ3bBCwGvI/oyDIOW/9LYHpnKyrylo
nOVElzb+CnYe3yuRf20K2K6uQ/3EBckLcukSVQ0UMwHyuQLu8xrzxNMAADFY+uILRLBMyPowLLDc
9Hik/ZAL8JAUJly/UqCdXECLmdcfc2Ga1sLXTM/S/VjAkBA00QqCTDYglKGAKk0BWuJEMDfzWvTr
u6kkgE0YigtdQJ2NAD2tJ/yz1A9rAYjaidEDcjSXowBLDc0/SwV8WgggNQRRLYfwhysgVtOnjQPr
Z2GV9i29pTsLoZQKKhsnHuwf8Tbk9os02IvCHc9jcNwqUBeOe8Fkzc50cN7YiS7GwfweCAA4FVBw
2QfFRBfwsAxOXJtMOwXkOKNbaQso2ZfsW4mkDuAFYGYlpKMtlcEiAoE28uRcA5HmSnfRVjakTgFW
e5aOZKz4roNi+4ZKfgawtgm+nYNzD0GH3grkW3LcBaEBGQqO6toOLYD3/rQ0mxU34usK7FyxzJNQ
gOmygNXrGAaOIaB2GGQP5HCzxEYP7KyPm1kOMs+HF75q/l0hQHtFTs5VUHz6tws8On5Ikju1Bcxv
CcA/Afmv1xQA/9gSpADw8BJQDKKAJOP1KQnygPFEIxCEAtJVl52gGNRwDZTKvYNqOeAKo5aINvUD
xx5PYvgJjQI3B74CosplDX9hNHhR+Awh8rrYdQ59eA4V8Wk6vAc8zymaYEI0ghLB6ZwuBhA6XY2M
CRst6KB/5DS1dhwoZXpZ9RGp3X2r9CKHoUV3oI2oVwvMukL7FlpJTNJcQqhCEYQVLtHYzyYVJAgv
zZAt9rp60Q86h3GgnPksrCl/c+M8JdhlYrQlf5za6m/HgvK/VJT4GNM8Y79mCHDbk+IDLFhQlJCQ
RDordGB50pq1T2CPBhyr+rz0kMtIGEM0dH8f00+tZ2Eq9Otr7mn2kN1/vOeKX3p1RpOLhdUDWzUc
qzf3XCRohqVyv9QJeVC1V4R6ZY8mC+5G+PrjhyesA57P6Ce7f/TljoZUS7CK/lLfWRfNuDdHNK1g
QdlXFC7cSN3e3XKLrNBr2w/9i6IJCSkhqYXEQ8M6V3CiZ0PxJFca51GedWY5afJRRqMRWLo7I+qw
xm1l7XNtKp7z2NnVQSkRFrWkhg9lWldpLKH81Cu6an44KHNvlCQAT1pZqK8L3SexENOxnpvyaIwx
LGnobAGXJIQ2HuZJUG/BxGGmDxPC8oiODMsAw0qra2jjxOSOY+1C7+mg8EoA3zTBgN0surg8954M
PhsNqH/uYX9qQhMwZzKUfmllBGSX/z31n6a+EHj8eupfBatyE+gifutl7qsyFrkKmRZgB+o7N0dl
TxZwB2oLQyfV/hXogmJExEzgILf23OWBLwUq9a4D2EI9S2eZitL5Sz0e8dbezX6KZ5YgFSpoCEvq
bYE6wuP01SzANZeWOkYDI7l0yvfMe5Ad5iQk3dJMTwIbtCHoHJDFnH8vVescwsB5U+QLQqG+xE3z
nYyDqTxI/X4V+XdpaewXJINqqQ0YQDJ5ZX1TTB2Tvr6myIqOa4N8KgAe6CIeFKw+vQ7ltBC69hj+
Mdn0cpB/g36Bi7l6bMCtwgFqOWLlqITjnapLSJH7mpAHcpX70MK4KTioGmKawnS8oyd00PlRMNWj
+qK3/G9hkt6MdnaC+vEOiCuZRIb6KOEnDsr0NVISdaI3xqJ0pMVojRcgySANRb4Pk66ZQpsn7RxY
GbYuLHq3O6wDzLqoWQS5dd8qSCOvcF8cEvtr0RH5kdeDdUg5pEw6l3aFHBNf1EkHVFk0HILSPWhQ
PWZ6f6hS/nS5+aXLkcPUSXkTG8MyzolONQv7iPvqLVJWNK4ZPk1yf+pFuTHpPEuaG2F6APEopP3b
HMMbOMRGEwcgF3td5YHQt++e29wMtsHdWKdtTsLG90iunElcaOha9JVmseuABd489T46GQsgCfyn
ruDJDl1rzuV+gLo97Nt2N8+RoTYVY+Z5MVJCvIfYBaOQyumM7U/x5y6Ktn00iEZP+Fkw4Mecy/Vh
Ztse9gWYEClqDdReZHJJIkKg47dVVWA+y7gtsGCoDbXG/RyJ/6QnWlwXsnV0jTH1sefTxs515zRp
CpJTM+0+9cEI6OioMw3EW6Q08V8dIWZjdY8FIwHfUfEIqcUkFIOg+pR6wVIGKjwj+mIJVqGlWWeS
r2L4o+Y8A6pPJvl3ca9/S+0e+6m+vcqbyIcYRwmkF8ZDmFePmPGvxhqeQWvFXz1TZypoGt0iOFER
IZJlKgVzHCu1uW60F1zCvBnkxQPdL7/ZkVEvNEmP54ZrfxtquPu5btIPsroHLOYgyGHEwcwhkYPu
kI0u1vFOY086877F0L892iB9+KDTHDMS5gupdGQZH5spTqdZftlqMOdJm7jJhSTSzDyRwjfhQEU7
JZu3LsKqfYN/sZXu1huLS6q36aBLFb5w31LDoLs0YMQhWdYYzHgURoFWNJNMKmfTJOxC8qtpXPaU
6OLcI2fwSzNk3mHkw0cy07OxzBFH5egh9HIa6y0CgWKISgoFttO/Ox8CEfz1uXJdBikwwseiSvza
z4MFhIB+h4K9ujg8RNLoz8aHtocppfFT1P8iUSRbyUSJiCmlyhwFd3h9qvDvsozDjkOON2aSf+VU
gU/w4VQxOPEcrCf4H96KOHVegflEgPRmUVTJRUpWqH5aqQ0nydAEbGl0LjvVIc2iZdtEEHGPK/f3
UcgLcEm7gmGG5Nj6MbSdP89RIpQgjoWQJhCTGs8a3TqThWwB5wv0itwVILAiasACjGDEHKGDn3tn
XJ8iiINwnLFaOa+G+kES8gjD6R50IZjwobg1QkKR2cFxL0QVmhOeSnlxUcqZMcuE8MLnajmrhRjD
GsoHKcOiEUHfjxaz9TGJhn0ZBYeEksPvamWCI+aBZdXcgyNSR4Tmwyi6bx2Sv5g72DREFqIZ9Z1H
ibAPTc3G+APtiIdr/xxsCD8XoSxRkJiwGrN9jkX04MhPgkA9z0QgAgEVV7KISPDJSuhV+SiRjZVe
J/sQDJeVDqVPhCuU+CD0pC2UTs1POweJXN41GOZmPdk0qchnIKfBCXGozWYy0Q0kZdyXanVejsGt
QbRDpBP5idkpaQ+GeUFfGcoaQRCJH8BgquFojlLjce8LrqpAOyOF82x8ypGQAxUgl2wJo7CTw1Ch
NjVE8gRHy4VkQGlHNO9NDInscnJjjkOfrKxQZFcUXnzqQyWlt9Lf0Gw6UjvsKB0CL+yMrjudlvN8
oP2KE4F9WOapuk8KBz5FJGaUwjEuH2J7P7L8chaKZA2zdfu5IdI2FHQgU4vuODmqX10COeKguTDl
5lzOUhocklPsl0QS9TQHJx5xHireyZNeJHzo3YjcWy4PEwkqSKlK7j4LzZ12WXssW/KZz5+Cn4TN
KZVfzNa4wIv00AtxATTVkJzFjP4BV2yFCMNoNG9qKHRy4n0ljnwFG0WiUsF2ymi4RLciv8Ruxjuo
mMTrqCjGrfxWasg6iavuRkIIM+VXIVKIRBStja4GSR3mmmpCNVayxwTRH2YT+SkGa+eRPniTeuiB
9clcaTCemvc2kgCrSzzWSmmTvh6oU7JOD7oaBnyklf2ydvNwJle5O9NK4l20KLxtopkVBzdaDeHM
FkEwrLWZTidmatdWvZ9WOEEbHd77vaK6Uy2Tj4e8Ix0HYmMSBtqM680l0cb+fEgLDJJUBIUplDvq
QqQGT0E1JNYgoVxGPYb6zLUrXTuSBsRAFG8SaTeZVc1hY4czZHoQPLKvWI08yiIjJ7f0x3KUvzmE
5xAJeJYPw5UqUnWgZPtzE6okRynE3KZaxoA+k2A4tLOREElHULohxjL3SFOp9GlpD49qVX73pOa4
y+rLOJdOIVbS4EjBNIn+0ZwW3E+kARkiFyhsIuFNRFZQWdeP4ANIlPtOncW9tQyK8jtev7gOQFme
qCJ1qO9s86huILtWhmRDFtfv2HWLiTkAQLUEF9WE2cEqUgPovfZxJdKNvKohdXRsj2BxtrTIvC+m
3y/xkcTCVKQj1UUF3Odhn1PpxYGZQPXD3Bbbrv6qRuMhfMXncU98exEFWGelRsmiy1gStnkal3jv
Zr2LIkoDqGrcfmpJ3pXr6udZ7lw5Lu2dfrBRIIIvYjYNLZ9wek8pFlAF47uyo03qdu2JRBuelrNY
2EZ4a5mIRM22QxfjdDphr/6PPuWe2egBvMn0iA39y6BnJH3JCUIKtbnMEezhUm7MWnC+fR/TzWlb
afrEMMlTsNMjMoT1KQDwSeW3lwHchYkKfcQNsBmxshKbLS/md9v2yjBD+wAc80eV0S128tKd4BTj
T82wIN14lB4dHVFk7ZfBPvkVl+mQ/TA11nYRW8gNEmjCMbxLdANjSoClg3A7K+4UOxGZSHCbkwHS
uqYS7umjUZpl7NlGnsqLEF/2RSyCZR0sGnMmEiZsi6Gm66zwJ59w3JXTTiNNte5lb4F8iTGFN32I
+BJHEj0BG0QOp2VwRRq9vfGH6LLjTJzWIcbsgQHf17AM1AXSwHSDnjNrQv7NFqkkuTR2s4h0iEHS
MvxnLNrLckc2XWTeGDV5fOnwYGTGRejlq17hcZUe3gnh7qQjPGNiNukJdLjijBSoU87/fmJZ6QEs
wcM6zsupPqgN2aakpBRxGB9WY3GjqSz8ONVupUE/h/Pw0BUxndnwhsNePkbkgn7Xdg4r8jlx37t2
xuhAk4DjLNKWhfsYgnC9O3ANjV4GDfdM5LV0yClnqmXdB30Gp7nM0JqKoIkhs78oblLMDaTCk3Ts
03meJwFrpXEP5XJYmhKTofZbdYHR8nWfoiK2Xeko8LxlGVozDwNdFD/5flbglZla+UUWEd1J/9Sb
k0R+n8Mnwmgt+KbLyBfCwryQG/Nrppv7bh73B6OnPYYyjRKtxUxTVUuSCPrUX5gWVlq1id2QnNG6
SUMBXAeDMylG5ZtZtWcOAoQ5zDgMSyR2bYiA3iy0sGIzpXApp+pphI51WgduOC3a/DgQ4Rx6Xe4P
ow52owl7EDk6CL26nwY24I0sbgiF6qbTDMbxnEzLB9+jaV/YXrloIX5AUG7bGeohhNlEfQ2SeYu9
rsLdzDWmSSFd+2V3g1IdJWngTOEWcnVT0E42wOoeHiiYFfpXtWkVhDbXh43XVNNEdm7IWKPj3jlT
rarR+OdSgwEb60nD8Lv3pHimRumhROXEggxlxCrVj9xLuOtwnjNaHCHhQYGKHDl+sOq4XEq5+WjK
GHhrNodAAgua6PdHq0r8mRqr9+1QHjuc5JPBMu6r1tovbFh5qaccuamWzpyx1ae9Gd16SVJNi75U
pzaOYigV8AD/IdsIRZ1En9g6yLDShEe5URIk14ThmRpkWLaiF7Ht6JsnGeizuvBaAfeZ5I30xUoc
E/w5O9Sd7ran5kLbP5LqnGfpvKhpuA0GltFJVPBxdLKS7Y7keXyjj+0CSwQb1DyyCuyLuu6RXAxM
Czqrn5NRuZDb5i5vWbp+qVzGXiqM3rRTzQzgaRvgaE2UXxEFZ0wNbLMoL3v26TI97fUyXZSmjtlD
fY+VMjbmQX1b9PA1kka+oR941A/xNe2OZNYRiJ1Z8o9WBCjaGLySlmV1M0SaJ3lVLlK5tyc4IWI6
l8sZszZcOdTGfmvCfu/T1ZiUR6MDr8HDqVFV4ZmG4awmdyZvaThUVHlWxNaHEqGBNdpZZMMHvMnG
2pf78tH0KemsrP+mJdR8LcnpAU7sjZUeui6JcFG6pDnyI6ybc10vjpKgVmYe3s9uS3IdnhkHQ2F9
6X1l3hskKLhFdoX2+oCrPTFqeNvI4UU9atMhwGVu0LjTuvE8KNuTss8OmyCfxobcqkdVqEA39yw1
uozT0bwbssC0zwoJm9/L2KhJmh5sE21hLv2/Cet9viYLYtn8iVd22azK4cuq4pCtXohd4rtPPNTr
7H/7od8/6JnRdj3kMNqWD0mQzoKqLoP7+vXtlCwWmpdvLrRP7+npDf/uEfGSs6N54NmatQerzaQN
7+AfxxdXyjgj1Wn9bUi4zh7VHORwbkRPX69bCb8bhd9/wPVw/v5nfv0JwArWlL/Dh3/+Y00KVLjr
/uWR4DmvhsLcI1sYRERnWJ8/6oeh4HuKqkBL/bOfsjODADv2f5kObwfB2kOIYENK1NZjwEd9Mwiq
uqcyRpawJN7BMYDY+b7H898sibdjYIvwEe6FolPz9sPLAARP7fr1alm/1KsN41dbwu8n+qcvBpHa
vvViEMCJMKlczwNm1tuhAEGUYYoqOiyenZwI6nqVriUqPxfpf9gb304EZ0+lpMDXi2klvhjW94NA
R0cXbPQdHQSRnLPlTIC1JZAqQ37eEeh4vh0ElUAeRA6Ww3d2ciYI5/ItB8Hcs3DNMGALb14OHJOW
DWJuK2ty+u7tCfJ6im6xHCAAWEJZo8Kaf/r6cDboewi7NM6GnT0c3ksH/pfDAYGR4xAEuB6EDcsB
F37Yj8quLgd1+z3B3iMV1iEW4Llq3LQx4nKtgESsv3Z1Z9j+jLD3LHAgODTPn/TDQUnNgG8OM8J8
OkN2tWaQ12t2i/1BQ81KwaAjjvnF0kB4w2UDxs+uDsLzxrXNIFgQo02AQfN5k/ywP+BYSuPZUlDe
iK9dHQpR7Gx5aNrChkpFxQzEKb5EcfX6bglJx7ThfGNevqv7w/a3SmpI8RFNQmI3D4II87YRewlF
9G6WT9ufF+wMqOoURyQVvZ0CKnPEhhVq7GrJILQD260DPIotm4sSmv33n17fQ8auwaZ83ix2dAZo
25dN6h7+AniBqe/3QwXpB47PyD+eb5o7OgbKeqPe5mhgDPj8aFJoWYmv91WTYuwZ3DGwnt7tUkHZ
vlQwaTOp7AkQo14KxDf7giLODseEX7OrVbSy/flo7KEfEeXS+s+9qfcq7hoKbcldXRTbbwzOHldG
ctLhwD59fSgS1D0C1hVoubtaJOjrKbrNzoDBpk4UmWH+ahDgLGN/L9Lnd3QmCLvQ7Y5JzdwjDO/J
1WY9E95vj+j2ybvTMX7Y2VphPUW3mAkizwBaOjYC6zH4cEaImllEXNNv29GZ8FzMbzEIWNHSekaK
jcPR0xdH75vTARACpyKMZHf24vAMEW0zCDoyBVXVsNPZfJvmiBQ7AmHn6+vVrl4kn/tg2wyFucc9
kisCTejN8wG1h0nTDYxyRxeFKP233B75c+PVRW7YL6pHgcyxMQhty64OwvYHpUYJzc6ApO0XiwL8
0kCgBkN7RwdBSH22nAnOngOjnJbjMxjxoQ8v73FAOMj3drWlIGJ6thwEbQ/LPAPC9npL+Fg804ij
8QRYv6t7grb9NcrGPxCpGjlz6+XwYSaA0mKEgBXCbjcbP1g6/S+4DLUjH1Vmzr8tFoCtyDpQ6LTs
6pawfZeRRhJNRJoozxXT+9qZLgtm+zKgza6Owbqc3aZKAKimw6SL2Mqnr/djwP1BdaD3OM66jNjZ
6bB9rWDRcRRyIrLK1l/v14TwOZNx/RSh32zEuwdXC3+1LU8IEWiBvBfy2i/mw1NP0tSpG3d0EJ7/
OtstCj4evlMv3dUPJwRVIzmzbJy7uhz07QsmXcx2wVD5NXsDWrcmvGlflstOLopnkGSb+QDJUcNY
GP/D9aLgr/7mtITIgmMEgkRhF7GTg/A8UbcZBErDtZHFrzBaZU8MAcSuXS2g9e1rRy7VFjnUsoj0
EV9czt7MBNFkwfCAmbKzjdf1FN1iJtBuM7Av02zMuZ++GNb3gwA2hUD3+QK/gwfl1o1XwevCC4OP
+MJh+TgIJr1pgx7Lru4J6zJmi5kAeQWcRYWt8HxGfFgOdJ9FV3J3uZ4iTHe7konlAPZo0nf8xUEp
ekwck3B41jX2rtYMz4fXNvOB2wTeSZib/uKgpBGv2aqioLPf0UUh5P/bzQcNQqfNvVL+FdnxqVoA
zjafKbb/1fb4X/zQT53N1A/ihyeFDbmrm4Q4v/qBF8b9x++/ko48CWje/KRQ3KxffC0wEf//X28E
OOrTZenVd18uT0+v9Pz7zx/x44u/ebGXz/XyjwcYGy3Le394+sbw/EbXttb/jnG3fli+F76INujL
v21QC72uEn7/dLwcVi8P+lNVI7Ol/PlR30mR/uuHJ8uHrHx50KuHs3ts/fBJU9eb3jhvbutnT5fx
suVPUr0869V7Z9Fv/3x0gpuMVmUW7ic8PK3L5R/TrKo/zBr6H1QNW7/EbBX/cZaVG8efmnHr58/j
P2ZZyeR5edar8eceu/XzF+WqSjc9nLN/64fvx6s0fXnOqzf+Gcv1oEl+ZPFD/fHxgq229Vs/TPJV
GSzjl0f9+e4FCWr7xyP9f3nMq0d/xoo9XpUbxlxQdbZ+18dB6m3YCITucOtnnyyjDXuYkJJ8wqOr
arVpTD5jgZ5k1R//Tr1VvNo0Mp+xRE+XD2zAL+PwarZ8xhIVVtebhuYzluh/sNF+EhZvcWCfrlL8
P4NNu5cg1289bU5X5f3q4eVBf467IMhv//DfeJduPTDZxjH5jFV6mqX1qlwNLyPwalQ+Y6WeLfMN
E130HbYe8LNVu/xYOxqy4BVu/fDzcskW8PKgV4PyGUv0Il7erzbUjkLDtPU7vyBmcFNxJyD6rR/+
JaB0rIKHDSMj0O+tn3+1vC+5EqT1hrNUIMuf8ALpH5MVjnibXuAzTtSrpXiBMl2WDxs3MuFK/Cmf
YhasvE0f4jNWrfgQC1bAfVDdb3qNz1i+4jWOsmXRbDqttM9Yw+IVTpqg+uP8R1Dlmz7HZyxm8Sqn
y3q16fmfsZ55PmFQk2X5Y7mpZhBA0mfMJ15jGm9+hc9Z2OJTTMtmfHm7f+6pou2//UfwlxvvhPqn
LOrfmTNve7hfBVWEO2PzMgivBuZT1nIWLzdVD4Jluv2oU5gkGw54AXRv//B6iVdtvGw21OGCnr79
C4g2y4ZzWOSFbv3w65W/3DQ0oqG9/cN/6+q67Yy8btgJNhzxAqnd/q03NIiSTX050d/e+vG/T6/d
dmR+k8O39aObHxsWkvGfV+mmtuxP8svHZu2LL8umX3vbixY/cR+vluW//g8AAP//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723900</xdr:colOff>
      <xdr:row>7</xdr:row>
      <xdr:rowOff>7620</xdr:rowOff>
    </xdr:from>
    <xdr:to>
      <xdr:col>9</xdr:col>
      <xdr:colOff>579120</xdr:colOff>
      <xdr:row>20</xdr:row>
      <xdr:rowOff>76200</xdr:rowOff>
    </xdr:to>
    <xdr:graphicFrame macro="">
      <xdr:nvGraphicFramePr>
        <xdr:cNvPr id="3" name="Chart 2">
          <a:extLst>
            <a:ext uri="{FF2B5EF4-FFF2-40B4-BE49-F238E27FC236}">
              <a16:creationId xmlns:a16="http://schemas.microsoft.com/office/drawing/2014/main" id="{82971D5B-8A31-463B-B61A-5CC5602E6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30480</xdr:colOff>
      <xdr:row>38</xdr:row>
      <xdr:rowOff>175260</xdr:rowOff>
    </xdr:to>
    <xdr:sp macro="" textlink="">
      <xdr:nvSpPr>
        <xdr:cNvPr id="5" name="Rectangle 4">
          <a:extLst>
            <a:ext uri="{FF2B5EF4-FFF2-40B4-BE49-F238E27FC236}">
              <a16:creationId xmlns:a16="http://schemas.microsoft.com/office/drawing/2014/main" id="{15E96502-4AEB-779E-9576-6836EA40090C}"/>
            </a:ext>
          </a:extLst>
        </xdr:cNvPr>
        <xdr:cNvSpPr/>
      </xdr:nvSpPr>
      <xdr:spPr>
        <a:xfrm>
          <a:off x="0" y="0"/>
          <a:ext cx="1813560" cy="7124700"/>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464820</xdr:colOff>
      <xdr:row>0</xdr:row>
      <xdr:rowOff>0</xdr:rowOff>
    </xdr:from>
    <xdr:to>
      <xdr:col>26</xdr:col>
      <xdr:colOff>0</xdr:colOff>
      <xdr:row>38</xdr:row>
      <xdr:rowOff>175260</xdr:rowOff>
    </xdr:to>
    <xdr:sp macro="" textlink="">
      <xdr:nvSpPr>
        <xdr:cNvPr id="8" name="Rectangle 7">
          <a:extLst>
            <a:ext uri="{FF2B5EF4-FFF2-40B4-BE49-F238E27FC236}">
              <a16:creationId xmlns:a16="http://schemas.microsoft.com/office/drawing/2014/main" id="{04F96531-23F6-410E-BD08-8111096AFA2F}"/>
            </a:ext>
          </a:extLst>
        </xdr:cNvPr>
        <xdr:cNvSpPr/>
      </xdr:nvSpPr>
      <xdr:spPr>
        <a:xfrm>
          <a:off x="1752600" y="0"/>
          <a:ext cx="13289280" cy="7124700"/>
        </a:xfrm>
        <a:prstGeom prst="rect">
          <a:avLst/>
        </a:prstGeom>
        <a:solidFill>
          <a:schemeClr val="accent1">
            <a:lumMod val="60000"/>
            <a:lumOff val="40000"/>
          </a:schemeClr>
        </a:solidFill>
        <a:ln>
          <a:solidFill>
            <a:schemeClr val="accent1">
              <a:shade val="15000"/>
              <a:alpha val="9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2</xdr:row>
      <xdr:rowOff>99060</xdr:rowOff>
    </xdr:from>
    <xdr:to>
      <xdr:col>2</xdr:col>
      <xdr:colOff>114300</xdr:colOff>
      <xdr:row>4</xdr:row>
      <xdr:rowOff>53340</xdr:rowOff>
    </xdr:to>
    <xdr:sp macro="" textlink="Sheet2!H4">
      <xdr:nvSpPr>
        <xdr:cNvPr id="10" name="TextBox 9">
          <a:extLst>
            <a:ext uri="{FF2B5EF4-FFF2-40B4-BE49-F238E27FC236}">
              <a16:creationId xmlns:a16="http://schemas.microsoft.com/office/drawing/2014/main" id="{25FA3E8E-7E9B-AFAC-8586-87E844D9027D}"/>
            </a:ext>
          </a:extLst>
        </xdr:cNvPr>
        <xdr:cNvSpPr txBox="1"/>
      </xdr:nvSpPr>
      <xdr:spPr>
        <a:xfrm>
          <a:off x="175260" y="464820"/>
          <a:ext cx="12268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B8ACA6-457C-4AD7-A5B0-35AB4635180F}" type="TxLink">
            <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rPr>
            <a:pPr/>
            <a:t>959</a:t>
          </a:fld>
          <a:endParaRPr lang="en-US" sz="1800" b="1">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endParaRPr>
        </a:p>
      </xdr:txBody>
    </xdr:sp>
    <xdr:clientData/>
  </xdr:twoCellAnchor>
  <xdr:twoCellAnchor>
    <xdr:from>
      <xdr:col>3</xdr:col>
      <xdr:colOff>190500</xdr:colOff>
      <xdr:row>1</xdr:row>
      <xdr:rowOff>30480</xdr:rowOff>
    </xdr:from>
    <xdr:to>
      <xdr:col>10</xdr:col>
      <xdr:colOff>297180</xdr:colOff>
      <xdr:row>13</xdr:row>
      <xdr:rowOff>7620</xdr:rowOff>
    </xdr:to>
    <xdr:graphicFrame macro="">
      <xdr:nvGraphicFramePr>
        <xdr:cNvPr id="11" name="Chart 10">
          <a:extLst>
            <a:ext uri="{FF2B5EF4-FFF2-40B4-BE49-F238E27FC236}">
              <a16:creationId xmlns:a16="http://schemas.microsoft.com/office/drawing/2014/main" id="{C24AF0E7-2D7D-4F67-AB9F-CB3A5D789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5</xdr:row>
      <xdr:rowOff>160020</xdr:rowOff>
    </xdr:from>
    <xdr:to>
      <xdr:col>2</xdr:col>
      <xdr:colOff>144780</xdr:colOff>
      <xdr:row>8</xdr:row>
      <xdr:rowOff>53340</xdr:rowOff>
    </xdr:to>
    <xdr:sp macro="" textlink="Sheet2!I4">
      <xdr:nvSpPr>
        <xdr:cNvPr id="12" name="TextBox 11">
          <a:extLst>
            <a:ext uri="{FF2B5EF4-FFF2-40B4-BE49-F238E27FC236}">
              <a16:creationId xmlns:a16="http://schemas.microsoft.com/office/drawing/2014/main" id="{595BADE7-70C0-4703-9F19-D7B875DD039E}"/>
            </a:ext>
          </a:extLst>
        </xdr:cNvPr>
        <xdr:cNvSpPr txBox="1"/>
      </xdr:nvSpPr>
      <xdr:spPr>
        <a:xfrm>
          <a:off x="137160" y="1074420"/>
          <a:ext cx="1295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B3072F-4A23-4585-9085-71F6FEA0B597}" type="TxLink">
            <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rPr>
            <a:pPr marL="0" indent="0"/>
            <a:t>4,672</a:t>
          </a:fld>
          <a:endPar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endParaRPr>
        </a:p>
      </xdr:txBody>
    </xdr:sp>
    <xdr:clientData/>
  </xdr:twoCellAnchor>
  <xdr:twoCellAnchor>
    <xdr:from>
      <xdr:col>0</xdr:col>
      <xdr:colOff>91440</xdr:colOff>
      <xdr:row>9</xdr:row>
      <xdr:rowOff>30480</xdr:rowOff>
    </xdr:from>
    <xdr:to>
      <xdr:col>2</xdr:col>
      <xdr:colOff>381000</xdr:colOff>
      <xdr:row>11</xdr:row>
      <xdr:rowOff>106680</xdr:rowOff>
    </xdr:to>
    <xdr:sp macro="" textlink="Sheet2!J4">
      <xdr:nvSpPr>
        <xdr:cNvPr id="13" name="TextBox 12">
          <a:extLst>
            <a:ext uri="{FF2B5EF4-FFF2-40B4-BE49-F238E27FC236}">
              <a16:creationId xmlns:a16="http://schemas.microsoft.com/office/drawing/2014/main" id="{63181BA4-4281-46E9-B5A9-26A5E20ECEB3}"/>
            </a:ext>
          </a:extLst>
        </xdr:cNvPr>
        <xdr:cNvSpPr txBox="1"/>
      </xdr:nvSpPr>
      <xdr:spPr>
        <a:xfrm>
          <a:off x="91440" y="1676400"/>
          <a:ext cx="15773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EBE54C-E896-4C1B-90EE-6D7BB289A94A}" type="TxLink">
            <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rPr>
            <a:pPr marL="0" indent="0"/>
            <a:t>$240,896k</a:t>
          </a:fld>
          <a:endPar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endParaRPr>
        </a:p>
      </xdr:txBody>
    </xdr:sp>
    <xdr:clientData/>
  </xdr:twoCellAnchor>
  <xdr:twoCellAnchor>
    <xdr:from>
      <xdr:col>0</xdr:col>
      <xdr:colOff>137160</xdr:colOff>
      <xdr:row>12</xdr:row>
      <xdr:rowOff>137160</xdr:rowOff>
    </xdr:from>
    <xdr:to>
      <xdr:col>2</xdr:col>
      <xdr:colOff>144780</xdr:colOff>
      <xdr:row>15</xdr:row>
      <xdr:rowOff>30480</xdr:rowOff>
    </xdr:to>
    <xdr:sp macro="" textlink="Sheet2!K4">
      <xdr:nvSpPr>
        <xdr:cNvPr id="14" name="TextBox 13">
          <a:extLst>
            <a:ext uri="{FF2B5EF4-FFF2-40B4-BE49-F238E27FC236}">
              <a16:creationId xmlns:a16="http://schemas.microsoft.com/office/drawing/2014/main" id="{783E7B17-E9C2-4D1D-90B1-FC7CBCCBC807}"/>
            </a:ext>
          </a:extLst>
        </xdr:cNvPr>
        <xdr:cNvSpPr txBox="1"/>
      </xdr:nvSpPr>
      <xdr:spPr>
        <a:xfrm>
          <a:off x="137160" y="2331720"/>
          <a:ext cx="1295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43BF11-5275-461B-90C9-99583023CD26}" type="TxLink">
            <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rPr>
            <a:pPr marL="0" indent="0"/>
            <a:t>4</a:t>
          </a:fld>
          <a:endPar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endParaRPr>
        </a:p>
      </xdr:txBody>
    </xdr:sp>
    <xdr:clientData/>
  </xdr:twoCellAnchor>
  <xdr:twoCellAnchor>
    <xdr:from>
      <xdr:col>0</xdr:col>
      <xdr:colOff>106680</xdr:colOff>
      <xdr:row>16</xdr:row>
      <xdr:rowOff>22860</xdr:rowOff>
    </xdr:from>
    <xdr:to>
      <xdr:col>2</xdr:col>
      <xdr:colOff>114300</xdr:colOff>
      <xdr:row>18</xdr:row>
      <xdr:rowOff>99060</xdr:rowOff>
    </xdr:to>
    <xdr:sp macro="" textlink="Sheet2!L4">
      <xdr:nvSpPr>
        <xdr:cNvPr id="15" name="TextBox 14">
          <a:extLst>
            <a:ext uri="{FF2B5EF4-FFF2-40B4-BE49-F238E27FC236}">
              <a16:creationId xmlns:a16="http://schemas.microsoft.com/office/drawing/2014/main" id="{3E82FF73-451A-4BB2-B4D2-C25290AC22D6}"/>
            </a:ext>
          </a:extLst>
        </xdr:cNvPr>
        <xdr:cNvSpPr txBox="1"/>
      </xdr:nvSpPr>
      <xdr:spPr>
        <a:xfrm>
          <a:off x="106680" y="2948940"/>
          <a:ext cx="1295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502AF7-4BEF-4FC0-998E-A112D211A35F}" type="TxLink">
            <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rPr>
            <a:pPr marL="0" indent="0"/>
            <a:t>2,3</a:t>
          </a:fld>
          <a:endParaRPr lang="en-US" sz="1800" b="1" i="0" u="none" strike="noStrike">
            <a:gradFill flip="none" rotWithShape="1">
              <a:gsLst>
                <a:gs pos="0">
                  <a:schemeClr val="bg1">
                    <a:lumMod val="65000"/>
                  </a:schemeClr>
                </a:gs>
                <a:gs pos="50000">
                  <a:schemeClr val="accent1">
                    <a:shade val="67500"/>
                    <a:satMod val="115000"/>
                  </a:schemeClr>
                </a:gs>
                <a:gs pos="100000">
                  <a:schemeClr val="accent1">
                    <a:shade val="100000"/>
                    <a:satMod val="115000"/>
                  </a:schemeClr>
                </a:gs>
              </a:gsLst>
              <a:lin ang="0" scaled="1"/>
              <a:tileRect/>
            </a:gradFill>
            <a:latin typeface="Aptos Narrow"/>
            <a:ea typeface="+mn-ea"/>
            <a:cs typeface="+mn-cs"/>
          </a:endParaRPr>
        </a:p>
      </xdr:txBody>
    </xdr:sp>
    <xdr:clientData/>
  </xdr:twoCellAnchor>
  <xdr:twoCellAnchor>
    <xdr:from>
      <xdr:col>0</xdr:col>
      <xdr:colOff>167640</xdr:colOff>
      <xdr:row>0</xdr:row>
      <xdr:rowOff>152400</xdr:rowOff>
    </xdr:from>
    <xdr:to>
      <xdr:col>2</xdr:col>
      <xdr:colOff>68580</xdr:colOff>
      <xdr:row>2</xdr:row>
      <xdr:rowOff>99060</xdr:rowOff>
    </xdr:to>
    <xdr:sp macro="" textlink="">
      <xdr:nvSpPr>
        <xdr:cNvPr id="16" name="TextBox 15">
          <a:extLst>
            <a:ext uri="{FF2B5EF4-FFF2-40B4-BE49-F238E27FC236}">
              <a16:creationId xmlns:a16="http://schemas.microsoft.com/office/drawing/2014/main" id="{351BFE4D-0B48-7E08-AEA4-139184B0B097}"/>
            </a:ext>
          </a:extLst>
        </xdr:cNvPr>
        <xdr:cNvSpPr txBox="1"/>
      </xdr:nvSpPr>
      <xdr:spPr>
        <a:xfrm>
          <a:off x="167640" y="15240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baseline="0"/>
            <a:t>🛒 </a:t>
          </a:r>
          <a:r>
            <a:rPr lang="tr-TR" sz="1200" b="1" baseline="0">
              <a:solidFill>
                <a:schemeClr val="bg2"/>
              </a:solidFill>
            </a:rPr>
            <a:t>Orders</a:t>
          </a:r>
          <a:endParaRPr lang="en-US" sz="1200" b="1">
            <a:solidFill>
              <a:schemeClr val="bg2"/>
            </a:solidFill>
          </a:endParaRPr>
        </a:p>
      </xdr:txBody>
    </xdr:sp>
    <xdr:clientData/>
  </xdr:twoCellAnchor>
  <xdr:twoCellAnchor>
    <xdr:from>
      <xdr:col>0</xdr:col>
      <xdr:colOff>114300</xdr:colOff>
      <xdr:row>4</xdr:row>
      <xdr:rowOff>91440</xdr:rowOff>
    </xdr:from>
    <xdr:to>
      <xdr:col>2</xdr:col>
      <xdr:colOff>15240</xdr:colOff>
      <xdr:row>6</xdr:row>
      <xdr:rowOff>38100</xdr:rowOff>
    </xdr:to>
    <xdr:sp macro="" textlink="">
      <xdr:nvSpPr>
        <xdr:cNvPr id="17" name="TextBox 16">
          <a:extLst>
            <a:ext uri="{FF2B5EF4-FFF2-40B4-BE49-F238E27FC236}">
              <a16:creationId xmlns:a16="http://schemas.microsoft.com/office/drawing/2014/main" id="{D3463328-FBA6-466E-9884-F559E562690C}"/>
            </a:ext>
          </a:extLst>
        </xdr:cNvPr>
        <xdr:cNvSpPr txBox="1"/>
      </xdr:nvSpPr>
      <xdr:spPr>
        <a:xfrm>
          <a:off x="114300" y="82296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baseline="0"/>
            <a:t> </a:t>
          </a:r>
          <a:r>
            <a:rPr lang="en-US" sz="1100" b="0" i="0" u="none" strike="noStrike">
              <a:solidFill>
                <a:schemeClr val="dk1"/>
              </a:solidFill>
              <a:effectLst/>
              <a:latin typeface="+mn-lt"/>
              <a:ea typeface="+mn-ea"/>
              <a:cs typeface="+mn-cs"/>
            </a:rPr>
            <a:t>👕</a:t>
          </a:r>
          <a:r>
            <a:rPr lang="en-US" sz="1200">
              <a:effectLst/>
            </a:rPr>
            <a:t> </a:t>
          </a:r>
          <a:r>
            <a:rPr lang="tr-TR" sz="1200" b="1" baseline="0">
              <a:solidFill>
                <a:schemeClr val="bg2"/>
              </a:solidFill>
              <a:effectLst/>
            </a:rPr>
            <a:t>Quantity</a:t>
          </a:r>
          <a:endParaRPr lang="en-US" sz="1200" b="1">
            <a:solidFill>
              <a:schemeClr val="bg2"/>
            </a:solidFill>
          </a:endParaRPr>
        </a:p>
      </xdr:txBody>
    </xdr:sp>
    <xdr:clientData/>
  </xdr:twoCellAnchor>
  <xdr:twoCellAnchor>
    <xdr:from>
      <xdr:col>0</xdr:col>
      <xdr:colOff>83820</xdr:colOff>
      <xdr:row>7</xdr:row>
      <xdr:rowOff>91440</xdr:rowOff>
    </xdr:from>
    <xdr:to>
      <xdr:col>1</xdr:col>
      <xdr:colOff>777240</xdr:colOff>
      <xdr:row>9</xdr:row>
      <xdr:rowOff>38100</xdr:rowOff>
    </xdr:to>
    <xdr:sp macro="" textlink="">
      <xdr:nvSpPr>
        <xdr:cNvPr id="18" name="TextBox 17">
          <a:extLst>
            <a:ext uri="{FF2B5EF4-FFF2-40B4-BE49-F238E27FC236}">
              <a16:creationId xmlns:a16="http://schemas.microsoft.com/office/drawing/2014/main" id="{D7BB9F36-9B6A-4DB1-B3D3-666637023EEE}"/>
            </a:ext>
          </a:extLst>
        </xdr:cNvPr>
        <xdr:cNvSpPr txBox="1"/>
      </xdr:nvSpPr>
      <xdr:spPr>
        <a:xfrm>
          <a:off x="83820" y="137160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t>
          </a:r>
          <a:r>
            <a:rPr lang="en-US">
              <a:effectLst/>
            </a:rPr>
            <a:t> </a:t>
          </a:r>
          <a:r>
            <a:rPr lang="tr-TR" sz="1100" baseline="0"/>
            <a:t> </a:t>
          </a:r>
          <a:r>
            <a:rPr lang="tr-TR" sz="1200" b="1" baseline="0">
              <a:solidFill>
                <a:schemeClr val="bg2"/>
              </a:solidFill>
            </a:rPr>
            <a:t>Amount</a:t>
          </a:r>
          <a:endParaRPr lang="en-US" sz="1200" b="1">
            <a:solidFill>
              <a:schemeClr val="bg2"/>
            </a:solidFill>
          </a:endParaRPr>
        </a:p>
      </xdr:txBody>
    </xdr:sp>
    <xdr:clientData/>
  </xdr:twoCellAnchor>
  <xdr:twoCellAnchor>
    <xdr:from>
      <xdr:col>0</xdr:col>
      <xdr:colOff>91440</xdr:colOff>
      <xdr:row>11</xdr:row>
      <xdr:rowOff>38100</xdr:rowOff>
    </xdr:from>
    <xdr:to>
      <xdr:col>1</xdr:col>
      <xdr:colOff>784860</xdr:colOff>
      <xdr:row>12</xdr:row>
      <xdr:rowOff>167640</xdr:rowOff>
    </xdr:to>
    <xdr:sp macro="" textlink="">
      <xdr:nvSpPr>
        <xdr:cNvPr id="19" name="TextBox 18">
          <a:extLst>
            <a:ext uri="{FF2B5EF4-FFF2-40B4-BE49-F238E27FC236}">
              <a16:creationId xmlns:a16="http://schemas.microsoft.com/office/drawing/2014/main" id="{CDE5733E-56A9-4690-88AC-5DF5165695F6}"/>
            </a:ext>
          </a:extLst>
        </xdr:cNvPr>
        <xdr:cNvSpPr txBox="1"/>
      </xdr:nvSpPr>
      <xdr:spPr>
        <a:xfrm>
          <a:off x="91440" y="204978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2"/>
              </a:solidFill>
              <a:latin typeface="+mn-lt"/>
              <a:ea typeface="+mn-ea"/>
              <a:cs typeface="+mn-cs"/>
            </a:rPr>
            <a:t>⭐ </a:t>
          </a:r>
          <a:r>
            <a:rPr lang="tr-TR" sz="1200" b="1" baseline="0">
              <a:solidFill>
                <a:schemeClr val="bg2"/>
              </a:solidFill>
              <a:latin typeface="+mn-lt"/>
              <a:ea typeface="+mn-ea"/>
              <a:cs typeface="+mn-cs"/>
            </a:rPr>
            <a:t> Avg. Rating</a:t>
          </a:r>
          <a:endParaRPr lang="en-US" sz="1200" b="1" baseline="0">
            <a:solidFill>
              <a:schemeClr val="bg2"/>
            </a:solidFill>
            <a:latin typeface="+mn-lt"/>
            <a:ea typeface="+mn-ea"/>
            <a:cs typeface="+mn-cs"/>
          </a:endParaRPr>
        </a:p>
      </xdr:txBody>
    </xdr:sp>
    <xdr:clientData/>
  </xdr:twoCellAnchor>
  <xdr:twoCellAnchor>
    <xdr:from>
      <xdr:col>0</xdr:col>
      <xdr:colOff>53340</xdr:colOff>
      <xdr:row>14</xdr:row>
      <xdr:rowOff>121920</xdr:rowOff>
    </xdr:from>
    <xdr:to>
      <xdr:col>2</xdr:col>
      <xdr:colOff>152400</xdr:colOff>
      <xdr:row>16</xdr:row>
      <xdr:rowOff>68580</xdr:rowOff>
    </xdr:to>
    <xdr:sp macro="" textlink="">
      <xdr:nvSpPr>
        <xdr:cNvPr id="20" name="TextBox 19">
          <a:extLst>
            <a:ext uri="{FF2B5EF4-FFF2-40B4-BE49-F238E27FC236}">
              <a16:creationId xmlns:a16="http://schemas.microsoft.com/office/drawing/2014/main" id="{3A5210D1-639E-4481-8A98-62541F728BC6}"/>
            </a:ext>
          </a:extLst>
        </xdr:cNvPr>
        <xdr:cNvSpPr txBox="1"/>
      </xdr:nvSpPr>
      <xdr:spPr>
        <a:xfrm>
          <a:off x="53340" y="2682240"/>
          <a:ext cx="1386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t>
          </a:r>
          <a:r>
            <a:rPr lang="en-US" sz="1200">
              <a:effectLst/>
            </a:rPr>
            <a:t> </a:t>
          </a:r>
          <a:r>
            <a:rPr lang="tr-TR" sz="1200" b="1" baseline="0">
              <a:solidFill>
                <a:schemeClr val="bg2"/>
              </a:solidFill>
            </a:rPr>
            <a:t>Days to deliver</a:t>
          </a:r>
          <a:endParaRPr lang="en-US" sz="1200" b="1">
            <a:solidFill>
              <a:schemeClr val="bg2"/>
            </a:solidFill>
          </a:endParaRPr>
        </a:p>
      </xdr:txBody>
    </xdr:sp>
    <xdr:clientData/>
  </xdr:twoCellAnchor>
  <xdr:twoCellAnchor>
    <xdr:from>
      <xdr:col>10</xdr:col>
      <xdr:colOff>403860</xdr:colOff>
      <xdr:row>1</xdr:row>
      <xdr:rowOff>30480</xdr:rowOff>
    </xdr:from>
    <xdr:to>
      <xdr:col>18</xdr:col>
      <xdr:colOff>205740</xdr:colOff>
      <xdr:row>13</xdr:row>
      <xdr:rowOff>0</xdr:rowOff>
    </xdr:to>
    <xdr:sp macro="" textlink="">
      <xdr:nvSpPr>
        <xdr:cNvPr id="28" name="Rectangle 27">
          <a:extLst>
            <a:ext uri="{FF2B5EF4-FFF2-40B4-BE49-F238E27FC236}">
              <a16:creationId xmlns:a16="http://schemas.microsoft.com/office/drawing/2014/main" id="{5311E9B3-5E4E-5196-FFEE-5ADFD50FD6B3}"/>
            </a:ext>
          </a:extLst>
        </xdr:cNvPr>
        <xdr:cNvSpPr/>
      </xdr:nvSpPr>
      <xdr:spPr>
        <a:xfrm>
          <a:off x="6073140" y="213360"/>
          <a:ext cx="4678680" cy="21640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198120</xdr:colOff>
          <xdr:row>3</xdr:row>
          <xdr:rowOff>175261</xdr:rowOff>
        </xdr:from>
        <xdr:to>
          <xdr:col>18</xdr:col>
          <xdr:colOff>83820</xdr:colOff>
          <xdr:row>11</xdr:row>
          <xdr:rowOff>163234</xdr:rowOff>
        </xdr:to>
        <xdr:pic>
          <xdr:nvPicPr>
            <xdr:cNvPr id="27" name="Picture 26">
              <a:extLst>
                <a:ext uri="{FF2B5EF4-FFF2-40B4-BE49-F238E27FC236}">
                  <a16:creationId xmlns:a16="http://schemas.microsoft.com/office/drawing/2014/main" id="{103DCC22-0867-FD5C-F883-46A647EB2699}"/>
                </a:ext>
              </a:extLst>
            </xdr:cNvPr>
            <xdr:cNvPicPr>
              <a:picLocks noChangeAspect="1" noChangeArrowheads="1"/>
              <a:extLst>
                <a:ext uri="{84589F7E-364E-4C9E-8A38-B11213B215E9}">
                  <a14:cameraTool cellRange="Sheet3!$I$4:$M$9" spid="_x0000_s1255"/>
                </a:ext>
              </a:extLst>
            </xdr:cNvPicPr>
          </xdr:nvPicPr>
          <xdr:blipFill>
            <a:blip xmlns:r="http://schemas.openxmlformats.org/officeDocument/2006/relationships" r:embed="rId2"/>
            <a:srcRect/>
            <a:stretch>
              <a:fillRect/>
            </a:stretch>
          </xdr:blipFill>
          <xdr:spPr bwMode="auto">
            <a:xfrm>
              <a:off x="6477000" y="723901"/>
              <a:ext cx="4152900" cy="14510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365759</xdr:colOff>
      <xdr:row>1</xdr:row>
      <xdr:rowOff>22860</xdr:rowOff>
    </xdr:from>
    <xdr:to>
      <xdr:col>25</xdr:col>
      <xdr:colOff>32656</xdr:colOff>
      <xdr:row>12</xdr:row>
      <xdr:rowOff>167640</xdr:rowOff>
    </xdr:to>
    <xdr:graphicFrame macro="">
      <xdr:nvGraphicFramePr>
        <xdr:cNvPr id="31" name="Chart 30">
          <a:extLst>
            <a:ext uri="{FF2B5EF4-FFF2-40B4-BE49-F238E27FC236}">
              <a16:creationId xmlns:a16="http://schemas.microsoft.com/office/drawing/2014/main" id="{09435A9A-99AD-43F1-9283-810CE8812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13</xdr:row>
      <xdr:rowOff>83820</xdr:rowOff>
    </xdr:from>
    <xdr:to>
      <xdr:col>11</xdr:col>
      <xdr:colOff>403860</xdr:colOff>
      <xdr:row>38</xdr:row>
      <xdr:rowOff>167640</xdr:rowOff>
    </xdr:to>
    <xdr:graphicFrame macro="">
      <xdr:nvGraphicFramePr>
        <xdr:cNvPr id="32" name="Chart 31">
          <a:extLst>
            <a:ext uri="{FF2B5EF4-FFF2-40B4-BE49-F238E27FC236}">
              <a16:creationId xmlns:a16="http://schemas.microsoft.com/office/drawing/2014/main" id="{D573FAFC-7403-4138-9803-F541268A3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76198</xdr:colOff>
      <xdr:row>28</xdr:row>
      <xdr:rowOff>54428</xdr:rowOff>
    </xdr:from>
    <xdr:to>
      <xdr:col>8</xdr:col>
      <xdr:colOff>457199</xdr:colOff>
      <xdr:row>38</xdr:row>
      <xdr:rowOff>68580</xdr:rowOff>
    </xdr:to>
    <xdr:graphicFrame macro="">
      <xdr:nvGraphicFramePr>
        <xdr:cNvPr id="2" name="Chart 1">
          <a:extLst>
            <a:ext uri="{FF2B5EF4-FFF2-40B4-BE49-F238E27FC236}">
              <a16:creationId xmlns:a16="http://schemas.microsoft.com/office/drawing/2014/main" id="{CB9B9516-7B37-456E-A7F1-651E88262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510540</xdr:colOff>
      <xdr:row>13</xdr:row>
      <xdr:rowOff>64770</xdr:rowOff>
    </xdr:from>
    <xdr:to>
      <xdr:col>18</xdr:col>
      <xdr:colOff>297180</xdr:colOff>
      <xdr:row>38</xdr:row>
      <xdr:rowOff>160020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9C89985-7B1A-4CC1-B002-C19E98060B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89420" y="2442210"/>
              <a:ext cx="4053840" cy="4667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434340</xdr:colOff>
      <xdr:row>17</xdr:row>
      <xdr:rowOff>129540</xdr:rowOff>
    </xdr:from>
    <xdr:to>
      <xdr:col>18</xdr:col>
      <xdr:colOff>182880</xdr:colOff>
      <xdr:row>26</xdr:row>
      <xdr:rowOff>114300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CAD83DA-E38D-42DA-9822-B453719169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51620" y="3238500"/>
              <a:ext cx="1577340" cy="1630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373379</xdr:colOff>
      <xdr:row>13</xdr:row>
      <xdr:rowOff>60960</xdr:rowOff>
    </xdr:from>
    <xdr:to>
      <xdr:col>25</xdr:col>
      <xdr:colOff>21770</xdr:colOff>
      <xdr:row>25</xdr:row>
      <xdr:rowOff>68580</xdr:rowOff>
    </xdr:to>
    <xdr:graphicFrame macro="">
      <xdr:nvGraphicFramePr>
        <xdr:cNvPr id="6" name="Chart 5">
          <a:extLst>
            <a:ext uri="{FF2B5EF4-FFF2-40B4-BE49-F238E27FC236}">
              <a16:creationId xmlns:a16="http://schemas.microsoft.com/office/drawing/2014/main" id="{9B6BBD28-C99A-4CD0-BA4F-988376237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365760</xdr:colOff>
      <xdr:row>25</xdr:row>
      <xdr:rowOff>137160</xdr:rowOff>
    </xdr:from>
    <xdr:to>
      <xdr:col>25</xdr:col>
      <xdr:colOff>7620</xdr:colOff>
      <xdr:row>38</xdr:row>
      <xdr:rowOff>110490</xdr:rowOff>
    </xdr:to>
    <xdr:graphicFrame macro="">
      <xdr:nvGraphicFramePr>
        <xdr:cNvPr id="7" name="Chart 6">
          <a:extLst>
            <a:ext uri="{FF2B5EF4-FFF2-40B4-BE49-F238E27FC236}">
              <a16:creationId xmlns:a16="http://schemas.microsoft.com/office/drawing/2014/main" id="{1AC6BCB4-E397-4A2B-9F0D-C76B3F119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114300</xdr:colOff>
      <xdr:row>18</xdr:row>
      <xdr:rowOff>68581</xdr:rowOff>
    </xdr:from>
    <xdr:to>
      <xdr:col>2</xdr:col>
      <xdr:colOff>266700</xdr:colOff>
      <xdr:row>28</xdr:row>
      <xdr:rowOff>60961</xdr:rowOff>
    </xdr:to>
    <mc:AlternateContent xmlns:mc="http://schemas.openxmlformats.org/markup-compatibility/2006" xmlns:a14="http://schemas.microsoft.com/office/drawing/2010/main">
      <mc:Choice Requires="a14">
        <xdr:graphicFrame macro="">
          <xdr:nvGraphicFramePr>
            <xdr:cNvPr id="21" name="Order Mode 1">
              <a:extLst>
                <a:ext uri="{FF2B5EF4-FFF2-40B4-BE49-F238E27FC236}">
                  <a16:creationId xmlns:a16="http://schemas.microsoft.com/office/drawing/2014/main" id="{FA95D622-D752-4C4D-A6B9-AE2B7E26D76A}"/>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14300" y="3360421"/>
              <a:ext cx="144018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29</xdr:row>
      <xdr:rowOff>3811</xdr:rowOff>
    </xdr:from>
    <xdr:to>
      <xdr:col>2</xdr:col>
      <xdr:colOff>259080</xdr:colOff>
      <xdr:row>37</xdr:row>
      <xdr:rowOff>144781</xdr:rowOff>
    </xdr:to>
    <mc:AlternateContent xmlns:mc="http://schemas.openxmlformats.org/markup-compatibility/2006" xmlns:a14="http://schemas.microsoft.com/office/drawing/2010/main">
      <mc:Choice Requires="a14">
        <xdr:graphicFrame macro="">
          <xdr:nvGraphicFramePr>
            <xdr:cNvPr id="22" name="Gender Value 1">
              <a:extLst>
                <a:ext uri="{FF2B5EF4-FFF2-40B4-BE49-F238E27FC236}">
                  <a16:creationId xmlns:a16="http://schemas.microsoft.com/office/drawing/2014/main" id="{6CF292E4-4923-4A4B-80ED-D73EE6A63240}"/>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99060" y="5307331"/>
              <a:ext cx="1447800" cy="1604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1</xdr:row>
      <xdr:rowOff>133350</xdr:rowOff>
    </xdr:from>
    <xdr:to>
      <xdr:col>16</xdr:col>
      <xdr:colOff>434340</xdr:colOff>
      <xdr:row>3</xdr:row>
      <xdr:rowOff>76200</xdr:rowOff>
    </xdr:to>
    <xdr:sp macro="" textlink="">
      <xdr:nvSpPr>
        <xdr:cNvPr id="23" name="TextBox 22">
          <a:extLst>
            <a:ext uri="{FF2B5EF4-FFF2-40B4-BE49-F238E27FC236}">
              <a16:creationId xmlns:a16="http://schemas.microsoft.com/office/drawing/2014/main" id="{6064B4F9-1563-97E8-FF15-BC9BFF21F973}"/>
            </a:ext>
          </a:extLst>
        </xdr:cNvPr>
        <xdr:cNvSpPr txBox="1"/>
      </xdr:nvSpPr>
      <xdr:spPr>
        <a:xfrm>
          <a:off x="7498080" y="316230"/>
          <a:ext cx="2263140" cy="30861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400" b="1" i="0" u="none" strike="noStrike" kern="1200" spc="0" baseline="0">
              <a:solidFill>
                <a:sysClr val="windowText" lastClr="000000">
                  <a:lumMod val="65000"/>
                  <a:lumOff val="35000"/>
                </a:sysClr>
              </a:solidFill>
              <a:latin typeface="+mn-lt"/>
              <a:ea typeface="+mn-ea"/>
              <a:cs typeface="+mn-cs"/>
            </a:rPr>
            <a:t>How they like to buy?</a:t>
          </a:r>
          <a:endParaRPr lang="en-US" sz="1400" b="1" i="0" u="none" strike="noStrike" kern="1200" spc="0" baseline="0">
            <a:solidFill>
              <a:sysClr val="windowText" lastClr="000000">
                <a:lumMod val="65000"/>
                <a:lumOff val="35000"/>
              </a:sysClr>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137160</xdr:colOff>
      <xdr:row>0</xdr:row>
      <xdr:rowOff>152400</xdr:rowOff>
    </xdr:from>
    <xdr:to>
      <xdr:col>10</xdr:col>
      <xdr:colOff>76200</xdr:colOff>
      <xdr:row>14</xdr:row>
      <xdr:rowOff>137160</xdr:rowOff>
    </xdr:to>
    <xdr:graphicFrame macro="">
      <xdr:nvGraphicFramePr>
        <xdr:cNvPr id="2" name="Chart 1">
          <a:extLst>
            <a:ext uri="{FF2B5EF4-FFF2-40B4-BE49-F238E27FC236}">
              <a16:creationId xmlns:a16="http://schemas.microsoft.com/office/drawing/2014/main" id="{42BACDF4-20E2-51A7-2ADA-48E79F7C6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327660</xdr:colOff>
      <xdr:row>1</xdr:row>
      <xdr:rowOff>125730</xdr:rowOff>
    </xdr:from>
    <xdr:to>
      <xdr:col>15</xdr:col>
      <xdr:colOff>106680</xdr:colOff>
      <xdr:row>21</xdr:row>
      <xdr:rowOff>106680</xdr:rowOff>
    </xdr:to>
    <xdr:graphicFrame macro="">
      <xdr:nvGraphicFramePr>
        <xdr:cNvPr id="2" name="Chart 1">
          <a:extLst>
            <a:ext uri="{FF2B5EF4-FFF2-40B4-BE49-F238E27FC236}">
              <a16:creationId xmlns:a16="http://schemas.microsoft.com/office/drawing/2014/main" id="{9204C81C-E86D-77EC-6997-6D6423F81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27</xdr:row>
      <xdr:rowOff>99060</xdr:rowOff>
    </xdr:from>
    <xdr:to>
      <xdr:col>12</xdr:col>
      <xdr:colOff>243840</xdr:colOff>
      <xdr:row>37</xdr:row>
      <xdr:rowOff>22860</xdr:rowOff>
    </xdr:to>
    <xdr:graphicFrame macro="">
      <xdr:nvGraphicFramePr>
        <xdr:cNvPr id="3" name="Chart 2">
          <a:extLst>
            <a:ext uri="{FF2B5EF4-FFF2-40B4-BE49-F238E27FC236}">
              <a16:creationId xmlns:a16="http://schemas.microsoft.com/office/drawing/2014/main" id="{03D639FF-017B-4363-8D58-34B71B5A4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274320</xdr:colOff>
      <xdr:row>29</xdr:row>
      <xdr:rowOff>80010</xdr:rowOff>
    </xdr:from>
    <xdr:to>
      <xdr:col>18</xdr:col>
      <xdr:colOff>167640</xdr:colOff>
      <xdr:row>43</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41ACB00-FD22-644A-4515-F2340268F7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806940" y="5383530"/>
              <a:ext cx="4290060" cy="2632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99060</xdr:colOff>
      <xdr:row>29</xdr:row>
      <xdr:rowOff>99060</xdr:rowOff>
    </xdr:from>
    <xdr:to>
      <xdr:col>12</xdr:col>
      <xdr:colOff>99060</xdr:colOff>
      <xdr:row>43</xdr:row>
      <xdr:rowOff>179070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AD1F265-8587-5A16-80A7-0D69060DA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77840" y="5402580"/>
              <a:ext cx="4053840" cy="26403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601980</xdr:colOff>
      <xdr:row>3</xdr:row>
      <xdr:rowOff>72390</xdr:rowOff>
    </xdr:from>
    <xdr:to>
      <xdr:col>10</xdr:col>
      <xdr:colOff>182880</xdr:colOff>
      <xdr:row>16</xdr:row>
      <xdr:rowOff>91440</xdr:rowOff>
    </xdr:to>
    <xdr:graphicFrame macro="">
      <xdr:nvGraphicFramePr>
        <xdr:cNvPr id="2" name="Chart 1">
          <a:extLst>
            <a:ext uri="{FF2B5EF4-FFF2-40B4-BE49-F238E27FC236}">
              <a16:creationId xmlns:a16="http://schemas.microsoft.com/office/drawing/2014/main" id="{6B036668-C177-BF4E-083F-B660B16FC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20</xdr:row>
      <xdr:rowOff>121920</xdr:rowOff>
    </xdr:from>
    <xdr:to>
      <xdr:col>14</xdr:col>
      <xdr:colOff>144780</xdr:colOff>
      <xdr:row>33</xdr:row>
      <xdr:rowOff>34290</xdr:rowOff>
    </xdr:to>
    <xdr:graphicFrame macro="">
      <xdr:nvGraphicFramePr>
        <xdr:cNvPr id="3" name="Chart 2">
          <a:extLst>
            <a:ext uri="{FF2B5EF4-FFF2-40B4-BE49-F238E27FC236}">
              <a16:creationId xmlns:a16="http://schemas.microsoft.com/office/drawing/2014/main" id="{F78A84A1-A940-C5B3-3A23-39B471043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83820</xdr:colOff>
      <xdr:row>19</xdr:row>
      <xdr:rowOff>99060</xdr:rowOff>
    </xdr:from>
    <xdr:to>
      <xdr:col>18</xdr:col>
      <xdr:colOff>198120</xdr:colOff>
      <xdr:row>33</xdr:row>
      <xdr:rowOff>120015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0BD44650-2CC8-1F60-F944-EF72EA1403A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7894320" y="3573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449580</xdr:colOff>
      <xdr:row>19</xdr:row>
      <xdr:rowOff>114300</xdr:rowOff>
    </xdr:from>
    <xdr:to>
      <xdr:col>21</xdr:col>
      <xdr:colOff>563880</xdr:colOff>
      <xdr:row>33</xdr:row>
      <xdr:rowOff>135255</xdr:rowOff>
    </xdr:to>
    <mc:AlternateContent xmlns:mc="http://schemas.openxmlformats.org/markup-compatibility/2006" xmlns:a14="http://schemas.microsoft.com/office/drawing/2010/main">
      <mc:Choice Requires="a14">
        <xdr:graphicFrame macro="">
          <xdr:nvGraphicFramePr>
            <xdr:cNvPr id="6" name="Gender Value">
              <a:extLst>
                <a:ext uri="{FF2B5EF4-FFF2-40B4-BE49-F238E27FC236}">
                  <a16:creationId xmlns:a16="http://schemas.microsoft.com/office/drawing/2014/main" id="{BA789AF9-4019-F7A4-CAC7-5022B017A05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9974580" y="3589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1.790196412039" createdVersion="8" refreshedVersion="8" minRefreshableVersion="3" recordCount="2400" xr:uid="{0394AA9D-A50A-4E40-A820-1F70B672BE96}">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01.2025"/>
          <s v="1.Oca"/>
          <s v="2.Oca"/>
          <s v="3.Oca"/>
          <s v="4.Oca"/>
          <s v="5.Oca"/>
          <s v="6.Oca"/>
          <s v="7.Oca"/>
          <s v="8.Oca"/>
          <s v="9.Oca"/>
          <s v="10.Oca"/>
          <s v="11.Oca"/>
          <s v="12.Oca"/>
          <s v="13.Oca"/>
          <s v="14.Oca"/>
          <s v="15.Oca"/>
          <s v="16.Oca"/>
          <s v="17.Oca"/>
          <s v="18.Oca"/>
          <s v="19.Oca"/>
          <s v="20.Oca"/>
          <s v="21.Oca"/>
          <s v="22.Oca"/>
          <s v="23.Oca"/>
          <s v="24.Oca"/>
          <s v="25.Oca"/>
          <s v="26.Oca"/>
          <s v="27.Oca"/>
          <s v="28.Oca"/>
          <s v="29.Oca"/>
          <s v="30.Oca"/>
          <s v="31.Oca"/>
          <s v="1.Şub"/>
          <s v="2.Şub"/>
          <s v="3.Şub"/>
          <s v="4.Şub"/>
          <s v="5.Şub"/>
          <s v="6.Şub"/>
          <s v="7.Şub"/>
          <s v="8.Şub"/>
          <s v="9.Şub"/>
          <s v="10.Şub"/>
          <s v="11.Şub"/>
          <s v="12.Şub"/>
          <s v="13.Şub"/>
          <s v="14.Şub"/>
          <s v="15.Şub"/>
          <s v="16.Şub"/>
          <s v="17.Şub"/>
          <s v="18.Şub"/>
          <s v="19.Şub"/>
          <s v="20.Şub"/>
          <s v="21.Şub"/>
          <s v="22.Şub"/>
          <s v="23.Şub"/>
          <s v="24.Şub"/>
          <s v="25.Şub"/>
          <s v="26.Şub"/>
          <s v="27.Şub"/>
          <s v="28.Şub"/>
          <s v="29.Şub"/>
          <s v="1.Mar"/>
          <s v="2.Mar"/>
          <s v="3.Mar"/>
          <s v="4.Mar"/>
          <s v="5.Mar"/>
          <s v="6.Mar"/>
          <s v="7.Mar"/>
          <s v="8.Mar"/>
          <s v="9.Mar"/>
          <s v="10.Mar"/>
          <s v="11.Mar"/>
          <s v="12.Mar"/>
          <s v="13.Mar"/>
          <s v="14.Mar"/>
          <s v="15.Mar"/>
          <s v="16.Mar"/>
          <s v="17.Mar"/>
          <s v="18.Mar"/>
          <s v="19.Mar"/>
          <s v="20.Mar"/>
          <s v="21.Mar"/>
          <s v="22.Mar"/>
          <s v="23.Mar"/>
          <s v="24.Mar"/>
          <s v="25.Mar"/>
          <s v="26.Mar"/>
          <s v="27.Mar"/>
          <s v="28.Mar"/>
          <s v="29.Mar"/>
          <s v="30.Mar"/>
          <s v="31.Mar"/>
          <s v="1.Nis"/>
          <s v="2.Nis"/>
          <s v="3.Nis"/>
          <s v="4.Nis"/>
          <s v="5.Nis"/>
          <s v="6.Nis"/>
          <s v="7.Nis"/>
          <s v="8.Nis"/>
          <s v="9.Nis"/>
          <s v="10.Nis"/>
          <s v="11.Nis"/>
          <s v="12.Nis"/>
          <s v="13.Nis"/>
          <s v="14.Nis"/>
          <s v="15.Nis"/>
          <s v="16.Nis"/>
          <s v="17.Nis"/>
          <s v="18.Nis"/>
          <s v="19.Nis"/>
          <s v="20.Nis"/>
          <s v="21.Nis"/>
          <s v="22.Nis"/>
          <s v="23.Nis"/>
          <s v="24.Nis"/>
          <s v="25.Nis"/>
          <s v="26.Nis"/>
          <s v="27.Nis"/>
          <s v="28.Nis"/>
          <s v="29.Nis"/>
          <s v="30.Nis"/>
          <s v="1.May"/>
          <s v="2.May"/>
          <s v="3.May"/>
          <s v="4.May"/>
          <s v="5.May"/>
          <s v="6.May"/>
          <s v="7.May"/>
          <s v="8.May"/>
          <s v="9.May"/>
          <s v="10.May"/>
          <s v="11.May"/>
          <s v="12.May"/>
          <s v="13.May"/>
          <s v="14.May"/>
          <s v="15.May"/>
          <s v="16.May"/>
          <s v="17.May"/>
          <s v="18.May"/>
          <s v="19.May"/>
          <s v="20.May"/>
          <s v="21.May"/>
          <s v="22.May"/>
          <s v="23.May"/>
          <s v="24.May"/>
          <s v="25.May"/>
          <s v="26.May"/>
          <s v="27.May"/>
          <s v="28.May"/>
          <s v="29.May"/>
          <s v="30.May"/>
          <s v="31.May"/>
          <s v="1.Haz"/>
          <s v="2.Haz"/>
          <s v="3.Haz"/>
          <s v="4.Haz"/>
          <s v="5.Haz"/>
          <s v="6.Haz"/>
          <s v="7.Haz"/>
          <s v="8.Haz"/>
          <s v="9.Haz"/>
          <s v="10.Haz"/>
          <s v="11.Haz"/>
          <s v="12.Haz"/>
          <s v="13.Haz"/>
          <s v="14.Haz"/>
          <s v="15.Haz"/>
          <s v="16.Haz"/>
          <s v="17.Haz"/>
          <s v="18.Haz"/>
          <s v="19.Haz"/>
          <s v="20.Haz"/>
          <s v="21.Haz"/>
          <s v="22.Haz"/>
          <s v="23.Haz"/>
          <s v="24.Haz"/>
          <s v="25.Haz"/>
          <s v="26.Haz"/>
          <s v="27.Haz"/>
          <s v="28.Haz"/>
          <s v="29.Haz"/>
          <s v="30.Haz"/>
          <s v="1.Tem"/>
          <s v="2.Tem"/>
          <s v="3.Tem"/>
          <s v="4.Tem"/>
          <s v="5.Tem"/>
          <s v="6.Tem"/>
          <s v="7.Tem"/>
          <s v="8.Tem"/>
          <s v="9.Tem"/>
          <s v="10.Tem"/>
          <s v="11.Tem"/>
          <s v="12.Tem"/>
          <s v="13.Tem"/>
          <s v="14.Tem"/>
          <s v="15.Tem"/>
          <s v="16.Tem"/>
          <s v="17.Tem"/>
          <s v="18.Tem"/>
          <s v="19.Tem"/>
          <s v="20.Tem"/>
          <s v="21.Tem"/>
          <s v="22.Tem"/>
          <s v="23.Tem"/>
          <s v="24.Tem"/>
          <s v="25.Tem"/>
          <s v="26.Tem"/>
          <s v="27.Tem"/>
          <s v="28.Tem"/>
          <s v="29.Tem"/>
          <s v="30.Tem"/>
          <s v="31.Tem"/>
          <s v="1.Ağu"/>
          <s v="2.Ağu"/>
          <s v="3.Ağu"/>
          <s v="4.Ağu"/>
          <s v="5.Ağu"/>
          <s v="6.Ağu"/>
          <s v="7.Ağu"/>
          <s v="8.Ağu"/>
          <s v="9.Ağu"/>
          <s v="10.Ağu"/>
          <s v="11.Ağu"/>
          <s v="12.Ağu"/>
          <s v="13.Ağu"/>
          <s v="14.Ağu"/>
          <s v="15.Ağu"/>
          <s v="16.Ağu"/>
          <s v="17.Ağu"/>
          <s v="18.Ağu"/>
          <s v="19.Ağu"/>
          <s v="20.Ağu"/>
          <s v="21.Ağu"/>
          <s v="22.Ağu"/>
          <s v="23.Ağu"/>
          <s v="24.Ağu"/>
          <s v="25.Ağu"/>
          <s v="26.Ağu"/>
          <s v="27.Ağu"/>
          <s v="28.Ağu"/>
          <s v="29.Ağu"/>
          <s v="30.Ağu"/>
          <s v="31.Ağu"/>
          <s v="1.Eyl"/>
          <s v="2.Eyl"/>
          <s v="3.Eyl"/>
          <s v="4.Eyl"/>
          <s v="5.Eyl"/>
          <s v="6.Eyl"/>
          <s v="7.Eyl"/>
          <s v="8.Eyl"/>
          <s v="9.Eyl"/>
          <s v="10.Eyl"/>
          <s v="11.Eyl"/>
          <s v="12.Eyl"/>
          <s v="13.Eyl"/>
          <s v="14.Eyl"/>
          <s v="15.Eyl"/>
          <s v="16.Eyl"/>
          <s v="17.Eyl"/>
          <s v="18.Eyl"/>
          <s v="19.Eyl"/>
          <s v="20.Eyl"/>
          <s v="21.Eyl"/>
          <s v="22.Eyl"/>
          <s v="23.Eyl"/>
          <s v="24.Eyl"/>
          <s v="25.Eyl"/>
          <s v="26.Eyl"/>
          <s v="27.Eyl"/>
          <s v="28.Eyl"/>
          <s v="29.Eyl"/>
          <s v="30.Eyl"/>
          <s v="1.Eki"/>
          <s v="2.Eki"/>
          <s v="3.Eki"/>
          <s v="4.Eki"/>
          <s v="5.Eki"/>
          <s v="6.Eki"/>
          <s v="7.Eki"/>
          <s v="8.Eki"/>
          <s v="9.Eki"/>
          <s v="10.Eki"/>
          <s v="11.Eki"/>
          <s v="12.Eki"/>
          <s v="13.Eki"/>
          <s v="14.Eki"/>
          <s v="15.Eki"/>
          <s v="16.Eki"/>
          <s v="17.Eki"/>
          <s v="18.Eki"/>
          <s v="19.Eki"/>
          <s v="20.Eki"/>
          <s v="21.Eki"/>
          <s v="22.Eki"/>
          <s v="23.Eki"/>
          <s v="24.Eki"/>
          <s v="25.Eki"/>
          <s v="26.Eki"/>
          <s v="27.Eki"/>
          <s v="28.Eki"/>
          <s v="29.Eki"/>
          <s v="30.Eki"/>
          <s v="31.Eki"/>
          <s v="1.Kas"/>
          <s v="2.Kas"/>
          <s v="3.Kas"/>
          <s v="4.Kas"/>
          <s v="5.Kas"/>
          <s v="6.Kas"/>
          <s v="7.Kas"/>
          <s v="8.Kas"/>
          <s v="9.Kas"/>
          <s v="10.Kas"/>
          <s v="11.Kas"/>
          <s v="12.Kas"/>
          <s v="13.Kas"/>
          <s v="14.Kas"/>
          <s v="15.Kas"/>
          <s v="16.Kas"/>
          <s v="17.Kas"/>
          <s v="18.Kas"/>
          <s v="19.Kas"/>
          <s v="20.Kas"/>
          <s v="21.Kas"/>
          <s v="22.Kas"/>
          <s v="23.Kas"/>
          <s v="24.Kas"/>
          <s v="25.Kas"/>
          <s v="26.Kas"/>
          <s v="27.Kas"/>
          <s v="28.Kas"/>
          <s v="29.Kas"/>
          <s v="30.Kas"/>
          <s v="1.Ara"/>
          <s v="2.Ara"/>
          <s v="3.Ara"/>
          <s v="4.Ara"/>
          <s v="5.Ara"/>
          <s v="6.Ara"/>
          <s v="7.Ara"/>
          <s v="8.Ara"/>
          <s v="9.Ara"/>
          <s v="10.Ara"/>
          <s v="11.Ara"/>
          <s v="12.Ara"/>
          <s v="13.Ara"/>
          <s v="14.Ara"/>
          <s v="15.Ara"/>
          <s v="16.Ara"/>
          <s v="17.Ara"/>
          <s v="18.Ara"/>
          <s v="19.Ara"/>
          <s v="20.Ara"/>
          <s v="21.Ara"/>
          <s v="22.Ara"/>
          <s v="23.Ara"/>
          <s v="24.Ara"/>
          <s v="25.Ara"/>
          <s v="26.Ara"/>
          <s v="27.Ara"/>
          <s v="28.Ara"/>
          <s v="29.Ara"/>
          <s v="30.Ara"/>
          <s v="31.Ara"/>
          <s v="&gt;30.03.2025"/>
        </groupItems>
      </fieldGroup>
    </cacheField>
    <cacheField name="Months (Order Date)" numFmtId="0" databaseField="0">
      <fieldGroup base="5">
        <rangePr groupBy="months" startDate="2025-01-01T00:00:00" endDate="2025-03-30T00:00:00"/>
        <groupItems count="14">
          <s v="&lt;1.01.2025"/>
          <s v="Oca"/>
          <s v="Şub"/>
          <s v="Mar"/>
          <s v="Nis"/>
          <s v="May"/>
          <s v="Haz"/>
          <s v="Tem"/>
          <s v="Ağu"/>
          <s v="Eyl"/>
          <s v="Eki"/>
          <s v="Kas"/>
          <s v="Ara"/>
          <s v="&gt;30.03.2025"/>
        </groupItems>
      </fieldGroup>
    </cacheField>
  </cacheFields>
  <extLst>
    <ext xmlns:x14="http://schemas.microsoft.com/office/spreadsheetml/2009/9/main" uri="{725AE2AE-9491-48be-B2B4-4EB974FC3084}">
      <x14:pivotCacheDefinition pivotCacheId="1931799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x v="0"/>
    <x v="0"/>
    <x v="0"/>
    <x v="0"/>
    <x v="0"/>
    <x v="0"/>
    <x v="0"/>
    <x v="0"/>
  </r>
  <r>
    <x v="1"/>
    <x v="1"/>
    <x v="1"/>
    <n v="30.6"/>
    <x v="1"/>
    <x v="0"/>
    <d v="2025-01-03T00:00:00"/>
    <x v="1"/>
    <x v="0"/>
    <x v="0"/>
    <x v="0"/>
    <x v="1"/>
    <x v="1"/>
    <x v="0"/>
    <x v="1"/>
  </r>
  <r>
    <x v="2"/>
    <x v="2"/>
    <x v="2"/>
    <n v="109.4"/>
    <x v="2"/>
    <x v="0"/>
    <d v="2025-01-04T00:00:00"/>
    <x v="2"/>
    <x v="0"/>
    <x v="1"/>
    <x v="0"/>
    <x v="2"/>
    <x v="2"/>
    <x v="0"/>
    <x v="2"/>
  </r>
  <r>
    <x v="3"/>
    <x v="3"/>
    <x v="3"/>
    <n v="37.700000000000003"/>
    <x v="3"/>
    <x v="0"/>
    <d v="2025-01-02T00:00:00"/>
    <x v="2"/>
    <x v="0"/>
    <x v="0"/>
    <x v="0"/>
    <x v="2"/>
    <x v="3"/>
    <x v="0"/>
    <x v="2"/>
  </r>
  <r>
    <x v="4"/>
    <x v="4"/>
    <x v="2"/>
    <n v="56.7"/>
    <x v="4"/>
    <x v="0"/>
    <d v="2025-01-04T00:00:00"/>
    <x v="2"/>
    <x v="0"/>
    <x v="2"/>
    <x v="0"/>
    <x v="3"/>
    <x v="2"/>
    <x v="0"/>
    <x v="2"/>
  </r>
  <r>
    <x v="5"/>
    <x v="1"/>
    <x v="4"/>
    <n v="83.5"/>
    <x v="5"/>
    <x v="0"/>
    <d v="2025-01-04T00:00:00"/>
    <x v="1"/>
    <x v="1"/>
    <x v="0"/>
    <x v="0"/>
    <x v="3"/>
    <x v="2"/>
    <x v="0"/>
    <x v="1"/>
  </r>
  <r>
    <x v="6"/>
    <x v="5"/>
    <x v="0"/>
    <n v="55.3"/>
    <x v="6"/>
    <x v="0"/>
    <d v="2025-01-02T00:00:00"/>
    <x v="2"/>
    <x v="0"/>
    <x v="0"/>
    <x v="0"/>
    <x v="3"/>
    <x v="3"/>
    <x v="0"/>
    <x v="2"/>
  </r>
  <r>
    <x v="7"/>
    <x v="6"/>
    <x v="1"/>
    <n v="40.299999999999997"/>
    <x v="7"/>
    <x v="0"/>
    <d v="2025-01-02T00:00:00"/>
    <x v="1"/>
    <x v="2"/>
    <x v="2"/>
    <x v="0"/>
    <x v="3"/>
    <x v="3"/>
    <x v="0"/>
    <x v="1"/>
  </r>
  <r>
    <x v="8"/>
    <x v="7"/>
    <x v="5"/>
    <n v="35.700000000000003"/>
    <x v="8"/>
    <x v="0"/>
    <d v="2025-01-02T00:00:00"/>
    <x v="2"/>
    <x v="0"/>
    <x v="0"/>
    <x v="0"/>
    <x v="3"/>
    <x v="3"/>
    <x v="0"/>
    <x v="2"/>
  </r>
  <r>
    <x v="9"/>
    <x v="8"/>
    <x v="3"/>
    <n v="22.4"/>
    <x v="9"/>
    <x v="0"/>
    <d v="2025-01-04T00:00:00"/>
    <x v="1"/>
    <x v="0"/>
    <x v="1"/>
    <x v="0"/>
    <x v="3"/>
    <x v="2"/>
    <x v="0"/>
    <x v="1"/>
  </r>
  <r>
    <x v="10"/>
    <x v="9"/>
    <x v="1"/>
    <n v="54.4"/>
    <x v="10"/>
    <x v="0"/>
    <d v="2025-01-07T00:00:00"/>
    <x v="2"/>
    <x v="0"/>
    <x v="0"/>
    <x v="0"/>
    <x v="3"/>
    <x v="4"/>
    <x v="0"/>
    <x v="2"/>
  </r>
  <r>
    <x v="11"/>
    <x v="9"/>
    <x v="1"/>
    <n v="49"/>
    <x v="11"/>
    <x v="0"/>
    <d v="2025-01-03T00:00:00"/>
    <x v="2"/>
    <x v="2"/>
    <x v="1"/>
    <x v="0"/>
    <x v="3"/>
    <x v="1"/>
    <x v="0"/>
    <x v="2"/>
  </r>
  <r>
    <x v="12"/>
    <x v="5"/>
    <x v="3"/>
    <n v="118.6"/>
    <x v="12"/>
    <x v="0"/>
    <d v="2025-01-05T00:00:00"/>
    <x v="2"/>
    <x v="1"/>
    <x v="0"/>
    <x v="0"/>
    <x v="4"/>
    <x v="5"/>
    <x v="0"/>
    <x v="2"/>
  </r>
  <r>
    <x v="13"/>
    <x v="6"/>
    <x v="6"/>
    <n v="88.4"/>
    <x v="13"/>
    <x v="0"/>
    <d v="2025-01-08T00:00:00"/>
    <x v="1"/>
    <x v="3"/>
    <x v="0"/>
    <x v="0"/>
    <x v="5"/>
    <x v="6"/>
    <x v="0"/>
    <x v="1"/>
  </r>
  <r>
    <x v="14"/>
    <x v="10"/>
    <x v="0"/>
    <n v="66.7"/>
    <x v="14"/>
    <x v="0"/>
    <d v="2025-01-04T00:00:00"/>
    <x v="1"/>
    <x v="0"/>
    <x v="0"/>
    <x v="0"/>
    <x v="6"/>
    <x v="2"/>
    <x v="0"/>
    <x v="1"/>
  </r>
  <r>
    <x v="15"/>
    <x v="9"/>
    <x v="7"/>
    <n v="30.9"/>
    <x v="15"/>
    <x v="0"/>
    <d v="2025-01-02T00:00:00"/>
    <x v="1"/>
    <x v="1"/>
    <x v="2"/>
    <x v="0"/>
    <x v="6"/>
    <x v="3"/>
    <x v="0"/>
    <x v="1"/>
  </r>
  <r>
    <x v="16"/>
    <x v="4"/>
    <x v="2"/>
    <n v="31.1"/>
    <x v="16"/>
    <x v="0"/>
    <d v="2025-01-02T00:00:00"/>
    <x v="2"/>
    <x v="0"/>
    <x v="1"/>
    <x v="0"/>
    <x v="6"/>
    <x v="3"/>
    <x v="0"/>
    <x v="2"/>
  </r>
  <r>
    <x v="17"/>
    <x v="7"/>
    <x v="2"/>
    <n v="36.6"/>
    <x v="17"/>
    <x v="0"/>
    <d v="2025-01-04T00:00:00"/>
    <x v="2"/>
    <x v="0"/>
    <x v="0"/>
    <x v="0"/>
    <x v="7"/>
    <x v="2"/>
    <x v="0"/>
    <x v="2"/>
  </r>
  <r>
    <x v="18"/>
    <x v="6"/>
    <x v="8"/>
    <n v="51.1"/>
    <x v="18"/>
    <x v="0"/>
    <d v="2025-01-04T00:00:00"/>
    <x v="2"/>
    <x v="2"/>
    <x v="3"/>
    <x v="0"/>
    <x v="7"/>
    <x v="2"/>
    <x v="0"/>
    <x v="2"/>
  </r>
  <r>
    <x v="19"/>
    <x v="9"/>
    <x v="0"/>
    <n v="25.2"/>
    <x v="19"/>
    <x v="0"/>
    <d v="2025-01-02T00:00:00"/>
    <x v="2"/>
    <x v="1"/>
    <x v="2"/>
    <x v="0"/>
    <x v="8"/>
    <x v="3"/>
    <x v="0"/>
    <x v="2"/>
  </r>
  <r>
    <x v="20"/>
    <x v="9"/>
    <x v="9"/>
    <n v="43.8"/>
    <x v="20"/>
    <x v="0"/>
    <d v="2025-01-04T00:00:00"/>
    <x v="2"/>
    <x v="2"/>
    <x v="0"/>
    <x v="0"/>
    <x v="8"/>
    <x v="2"/>
    <x v="0"/>
    <x v="2"/>
  </r>
  <r>
    <x v="21"/>
    <x v="8"/>
    <x v="4"/>
    <n v="46.7"/>
    <x v="21"/>
    <x v="0"/>
    <d v="2025-01-02T00:00:00"/>
    <x v="2"/>
    <x v="1"/>
    <x v="1"/>
    <x v="0"/>
    <x v="8"/>
    <x v="3"/>
    <x v="0"/>
    <x v="2"/>
  </r>
  <r>
    <x v="22"/>
    <x v="3"/>
    <x v="10"/>
    <n v="79.900000000000006"/>
    <x v="22"/>
    <x v="0"/>
    <d v="2025-01-02T00:00:00"/>
    <x v="1"/>
    <x v="0"/>
    <x v="2"/>
    <x v="0"/>
    <x v="8"/>
    <x v="3"/>
    <x v="0"/>
    <x v="1"/>
  </r>
  <r>
    <x v="23"/>
    <x v="11"/>
    <x v="8"/>
    <n v="26.4"/>
    <x v="23"/>
    <x v="0"/>
    <d v="2025-01-02T00:00:00"/>
    <x v="2"/>
    <x v="3"/>
    <x v="0"/>
    <x v="0"/>
    <x v="8"/>
    <x v="3"/>
    <x v="0"/>
    <x v="2"/>
  </r>
  <r>
    <x v="24"/>
    <x v="12"/>
    <x v="8"/>
    <n v="88.8"/>
    <x v="24"/>
    <x v="0"/>
    <d v="2025-01-02T00:00:00"/>
    <x v="2"/>
    <x v="4"/>
    <x v="0"/>
    <x v="0"/>
    <x v="8"/>
    <x v="3"/>
    <x v="0"/>
    <x v="2"/>
  </r>
  <r>
    <x v="25"/>
    <x v="0"/>
    <x v="7"/>
    <n v="17.5"/>
    <x v="25"/>
    <x v="0"/>
    <d v="2025-01-02T00:00:00"/>
    <x v="2"/>
    <x v="2"/>
    <x v="0"/>
    <x v="0"/>
    <x v="9"/>
    <x v="3"/>
    <x v="0"/>
    <x v="2"/>
  </r>
  <r>
    <x v="26"/>
    <x v="1"/>
    <x v="11"/>
    <n v="38.700000000000003"/>
    <x v="26"/>
    <x v="0"/>
    <d v="2025-01-04T00:00:00"/>
    <x v="1"/>
    <x v="1"/>
    <x v="0"/>
    <x v="0"/>
    <x v="10"/>
    <x v="2"/>
    <x v="0"/>
    <x v="1"/>
  </r>
  <r>
    <x v="27"/>
    <x v="13"/>
    <x v="12"/>
    <n v="57.2"/>
    <x v="27"/>
    <x v="0"/>
    <d v="2025-01-03T00:00:00"/>
    <x v="0"/>
    <x v="1"/>
    <x v="2"/>
    <x v="0"/>
    <x v="11"/>
    <x v="1"/>
    <x v="0"/>
    <x v="0"/>
  </r>
  <r>
    <x v="28"/>
    <x v="6"/>
    <x v="9"/>
    <n v="50.9"/>
    <x v="28"/>
    <x v="0"/>
    <d v="2025-01-07T00:00:00"/>
    <x v="0"/>
    <x v="1"/>
    <x v="2"/>
    <x v="0"/>
    <x v="12"/>
    <x v="4"/>
    <x v="0"/>
    <x v="0"/>
  </r>
  <r>
    <x v="29"/>
    <x v="14"/>
    <x v="3"/>
    <n v="41"/>
    <x v="29"/>
    <x v="0"/>
    <d v="2025-01-05T00:00:00"/>
    <x v="2"/>
    <x v="1"/>
    <x v="0"/>
    <x v="0"/>
    <x v="13"/>
    <x v="5"/>
    <x v="0"/>
    <x v="2"/>
  </r>
  <r>
    <x v="30"/>
    <x v="8"/>
    <x v="3"/>
    <n v="19.100000000000001"/>
    <x v="30"/>
    <x v="0"/>
    <d v="2025-01-05T00:00:00"/>
    <x v="1"/>
    <x v="0"/>
    <x v="2"/>
    <x v="0"/>
    <x v="14"/>
    <x v="5"/>
    <x v="0"/>
    <x v="1"/>
  </r>
  <r>
    <x v="31"/>
    <x v="2"/>
    <x v="9"/>
    <n v="166.1"/>
    <x v="31"/>
    <x v="0"/>
    <d v="2025-01-04T00:00:00"/>
    <x v="1"/>
    <x v="0"/>
    <x v="0"/>
    <x v="0"/>
    <x v="15"/>
    <x v="2"/>
    <x v="0"/>
    <x v="1"/>
  </r>
  <r>
    <x v="32"/>
    <x v="4"/>
    <x v="2"/>
    <n v="29.9"/>
    <x v="32"/>
    <x v="0"/>
    <d v="2025-01-02T00:00:00"/>
    <x v="1"/>
    <x v="3"/>
    <x v="0"/>
    <x v="0"/>
    <x v="3"/>
    <x v="3"/>
    <x v="0"/>
    <x v="1"/>
  </r>
  <r>
    <x v="33"/>
    <x v="10"/>
    <x v="13"/>
    <n v="21.7"/>
    <x v="33"/>
    <x v="0"/>
    <d v="2025-01-03T00:00:00"/>
    <x v="3"/>
    <x v="2"/>
    <x v="2"/>
    <x v="0"/>
    <x v="3"/>
    <x v="1"/>
    <x v="0"/>
    <x v="3"/>
  </r>
  <r>
    <x v="34"/>
    <x v="11"/>
    <x v="1"/>
    <n v="32"/>
    <x v="34"/>
    <x v="0"/>
    <d v="2025-01-04T00:00:00"/>
    <x v="1"/>
    <x v="0"/>
    <x v="2"/>
    <x v="0"/>
    <x v="3"/>
    <x v="2"/>
    <x v="0"/>
    <x v="1"/>
  </r>
  <r>
    <x v="35"/>
    <x v="8"/>
    <x v="1"/>
    <n v="15.8"/>
    <x v="35"/>
    <x v="0"/>
    <d v="2025-01-02T00:00:00"/>
    <x v="1"/>
    <x v="4"/>
    <x v="2"/>
    <x v="0"/>
    <x v="3"/>
    <x v="3"/>
    <x v="0"/>
    <x v="1"/>
  </r>
  <r>
    <x v="36"/>
    <x v="2"/>
    <x v="14"/>
    <n v="203.1"/>
    <x v="36"/>
    <x v="0"/>
    <d v="2025-01-05T00:00:00"/>
    <x v="1"/>
    <x v="3"/>
    <x v="1"/>
    <x v="0"/>
    <x v="3"/>
    <x v="5"/>
    <x v="0"/>
    <x v="1"/>
  </r>
  <r>
    <x v="37"/>
    <x v="7"/>
    <x v="15"/>
    <n v="39"/>
    <x v="37"/>
    <x v="0"/>
    <d v="2025-01-07T00:00:00"/>
    <x v="1"/>
    <x v="0"/>
    <x v="2"/>
    <x v="0"/>
    <x v="3"/>
    <x v="4"/>
    <x v="0"/>
    <x v="1"/>
  </r>
  <r>
    <x v="38"/>
    <x v="10"/>
    <x v="0"/>
    <n v="26.5"/>
    <x v="38"/>
    <x v="1"/>
    <d v="2025-01-03T00:00:00"/>
    <x v="1"/>
    <x v="2"/>
    <x v="0"/>
    <x v="0"/>
    <x v="3"/>
    <x v="3"/>
    <x v="0"/>
    <x v="1"/>
  </r>
  <r>
    <x v="39"/>
    <x v="5"/>
    <x v="0"/>
    <n v="43.1"/>
    <x v="39"/>
    <x v="1"/>
    <d v="2025-01-03T00:00:00"/>
    <x v="2"/>
    <x v="2"/>
    <x v="1"/>
    <x v="0"/>
    <x v="3"/>
    <x v="3"/>
    <x v="0"/>
    <x v="2"/>
  </r>
  <r>
    <x v="40"/>
    <x v="1"/>
    <x v="2"/>
    <n v="139"/>
    <x v="40"/>
    <x v="1"/>
    <d v="2025-01-03T00:00:00"/>
    <x v="2"/>
    <x v="4"/>
    <x v="2"/>
    <x v="0"/>
    <x v="3"/>
    <x v="3"/>
    <x v="0"/>
    <x v="2"/>
  </r>
  <r>
    <x v="41"/>
    <x v="12"/>
    <x v="0"/>
    <n v="80.7"/>
    <x v="41"/>
    <x v="1"/>
    <d v="2025-01-03T00:00:00"/>
    <x v="1"/>
    <x v="0"/>
    <x v="2"/>
    <x v="0"/>
    <x v="16"/>
    <x v="3"/>
    <x v="0"/>
    <x v="1"/>
  </r>
  <r>
    <x v="42"/>
    <x v="4"/>
    <x v="1"/>
    <n v="54.5"/>
    <x v="42"/>
    <x v="1"/>
    <d v="2025-01-04T00:00:00"/>
    <x v="1"/>
    <x v="1"/>
    <x v="1"/>
    <x v="0"/>
    <x v="6"/>
    <x v="1"/>
    <x v="0"/>
    <x v="1"/>
  </r>
  <r>
    <x v="43"/>
    <x v="6"/>
    <x v="2"/>
    <n v="68.599999999999994"/>
    <x v="43"/>
    <x v="1"/>
    <d v="2025-01-02T00:00:00"/>
    <x v="2"/>
    <x v="0"/>
    <x v="1"/>
    <x v="0"/>
    <x v="8"/>
    <x v="7"/>
    <x v="0"/>
    <x v="2"/>
  </r>
  <r>
    <x v="44"/>
    <x v="2"/>
    <x v="12"/>
    <n v="135.9"/>
    <x v="44"/>
    <x v="1"/>
    <d v="2025-01-03T00:00:00"/>
    <x v="2"/>
    <x v="2"/>
    <x v="2"/>
    <x v="0"/>
    <x v="8"/>
    <x v="3"/>
    <x v="0"/>
    <x v="2"/>
  </r>
  <r>
    <x v="45"/>
    <x v="2"/>
    <x v="12"/>
    <n v="70.900000000000006"/>
    <x v="45"/>
    <x v="1"/>
    <d v="2025-01-03T00:00:00"/>
    <x v="2"/>
    <x v="0"/>
    <x v="0"/>
    <x v="0"/>
    <x v="17"/>
    <x v="3"/>
    <x v="0"/>
    <x v="2"/>
  </r>
  <r>
    <x v="46"/>
    <x v="1"/>
    <x v="9"/>
    <n v="63.7"/>
    <x v="46"/>
    <x v="1"/>
    <d v="2025-01-03T00:00:00"/>
    <x v="1"/>
    <x v="1"/>
    <x v="1"/>
    <x v="0"/>
    <x v="9"/>
    <x v="3"/>
    <x v="0"/>
    <x v="1"/>
  </r>
  <r>
    <x v="47"/>
    <x v="13"/>
    <x v="0"/>
    <n v="29.7"/>
    <x v="47"/>
    <x v="1"/>
    <d v="2025-01-04T00:00:00"/>
    <x v="2"/>
    <x v="1"/>
    <x v="0"/>
    <x v="0"/>
    <x v="11"/>
    <x v="1"/>
    <x v="0"/>
    <x v="2"/>
  </r>
  <r>
    <x v="48"/>
    <x v="4"/>
    <x v="2"/>
    <n v="26.8"/>
    <x v="48"/>
    <x v="1"/>
    <d v="2025-01-11T00:00:00"/>
    <x v="2"/>
    <x v="1"/>
    <x v="2"/>
    <x v="0"/>
    <x v="11"/>
    <x v="8"/>
    <x v="0"/>
    <x v="2"/>
  </r>
  <r>
    <x v="49"/>
    <x v="14"/>
    <x v="0"/>
    <n v="27"/>
    <x v="49"/>
    <x v="1"/>
    <d v="2025-01-04T00:00:00"/>
    <x v="2"/>
    <x v="0"/>
    <x v="0"/>
    <x v="0"/>
    <x v="18"/>
    <x v="1"/>
    <x v="0"/>
    <x v="2"/>
  </r>
  <r>
    <x v="50"/>
    <x v="8"/>
    <x v="0"/>
    <n v="41.4"/>
    <x v="50"/>
    <x v="1"/>
    <d v="2025-01-03T00:00:00"/>
    <x v="1"/>
    <x v="1"/>
    <x v="2"/>
    <x v="0"/>
    <x v="19"/>
    <x v="3"/>
    <x v="0"/>
    <x v="1"/>
  </r>
  <r>
    <x v="51"/>
    <x v="8"/>
    <x v="1"/>
    <n v="24.3"/>
    <x v="51"/>
    <x v="1"/>
    <d v="2025-01-05T00:00:00"/>
    <x v="2"/>
    <x v="1"/>
    <x v="0"/>
    <x v="0"/>
    <x v="19"/>
    <x v="2"/>
    <x v="0"/>
    <x v="2"/>
  </r>
  <r>
    <x v="52"/>
    <x v="8"/>
    <x v="2"/>
    <n v="41.7"/>
    <x v="52"/>
    <x v="1"/>
    <d v="2025-01-04T00:00:00"/>
    <x v="1"/>
    <x v="0"/>
    <x v="2"/>
    <x v="0"/>
    <x v="20"/>
    <x v="1"/>
    <x v="0"/>
    <x v="1"/>
  </r>
  <r>
    <x v="53"/>
    <x v="0"/>
    <x v="1"/>
    <n v="18"/>
    <x v="53"/>
    <x v="1"/>
    <d v="2025-01-03T00:00:00"/>
    <x v="2"/>
    <x v="0"/>
    <x v="2"/>
    <x v="0"/>
    <x v="21"/>
    <x v="3"/>
    <x v="0"/>
    <x v="2"/>
  </r>
  <r>
    <x v="54"/>
    <x v="7"/>
    <x v="2"/>
    <n v="91.3"/>
    <x v="54"/>
    <x v="1"/>
    <d v="2025-01-05T00:00:00"/>
    <x v="1"/>
    <x v="2"/>
    <x v="2"/>
    <x v="0"/>
    <x v="3"/>
    <x v="2"/>
    <x v="0"/>
    <x v="1"/>
  </r>
  <r>
    <x v="55"/>
    <x v="8"/>
    <x v="8"/>
    <n v="19.3"/>
    <x v="55"/>
    <x v="1"/>
    <d v="2025-01-03T00:00:00"/>
    <x v="1"/>
    <x v="0"/>
    <x v="0"/>
    <x v="0"/>
    <x v="3"/>
    <x v="3"/>
    <x v="0"/>
    <x v="1"/>
  </r>
  <r>
    <x v="56"/>
    <x v="12"/>
    <x v="15"/>
    <n v="63.2"/>
    <x v="56"/>
    <x v="1"/>
    <d v="2025-01-03T00:00:00"/>
    <x v="2"/>
    <x v="0"/>
    <x v="0"/>
    <x v="0"/>
    <x v="3"/>
    <x v="3"/>
    <x v="0"/>
    <x v="2"/>
  </r>
  <r>
    <x v="57"/>
    <x v="10"/>
    <x v="11"/>
    <n v="33.299999999999997"/>
    <x v="57"/>
    <x v="2"/>
    <d v="2025-01-11T00:00:00"/>
    <x v="2"/>
    <x v="0"/>
    <x v="2"/>
    <x v="0"/>
    <x v="3"/>
    <x v="9"/>
    <x v="0"/>
    <x v="2"/>
  </r>
  <r>
    <x v="58"/>
    <x v="7"/>
    <x v="1"/>
    <n v="64.2"/>
    <x v="58"/>
    <x v="2"/>
    <d v="2025-01-04T00:00:00"/>
    <x v="1"/>
    <x v="0"/>
    <x v="2"/>
    <x v="0"/>
    <x v="3"/>
    <x v="3"/>
    <x v="0"/>
    <x v="1"/>
  </r>
  <r>
    <x v="59"/>
    <x v="9"/>
    <x v="2"/>
    <n v="23.1"/>
    <x v="59"/>
    <x v="2"/>
    <d v="2025-01-06T00:00:00"/>
    <x v="2"/>
    <x v="1"/>
    <x v="2"/>
    <x v="0"/>
    <x v="3"/>
    <x v="2"/>
    <x v="0"/>
    <x v="2"/>
  </r>
  <r>
    <x v="60"/>
    <x v="15"/>
    <x v="1"/>
    <n v="71.099999999999994"/>
    <x v="60"/>
    <x v="2"/>
    <d v="2025-01-05T00:00:00"/>
    <x v="2"/>
    <x v="3"/>
    <x v="1"/>
    <x v="0"/>
    <x v="3"/>
    <x v="1"/>
    <x v="0"/>
    <x v="2"/>
  </r>
  <r>
    <x v="61"/>
    <x v="0"/>
    <x v="1"/>
    <n v="11.5"/>
    <x v="61"/>
    <x v="2"/>
    <d v="2025-01-04T00:00:00"/>
    <x v="2"/>
    <x v="0"/>
    <x v="0"/>
    <x v="0"/>
    <x v="3"/>
    <x v="3"/>
    <x v="0"/>
    <x v="2"/>
  </r>
  <r>
    <x v="62"/>
    <x v="15"/>
    <x v="10"/>
    <n v="69.2"/>
    <x v="62"/>
    <x v="2"/>
    <d v="2025-01-08T00:00:00"/>
    <x v="2"/>
    <x v="0"/>
    <x v="0"/>
    <x v="0"/>
    <x v="3"/>
    <x v="0"/>
    <x v="0"/>
    <x v="2"/>
  </r>
  <r>
    <x v="63"/>
    <x v="0"/>
    <x v="0"/>
    <n v="26.8"/>
    <x v="63"/>
    <x v="2"/>
    <d v="2025-01-04T00:00:00"/>
    <x v="1"/>
    <x v="2"/>
    <x v="4"/>
    <x v="0"/>
    <x v="3"/>
    <x v="3"/>
    <x v="0"/>
    <x v="1"/>
  </r>
  <r>
    <x v="64"/>
    <x v="16"/>
    <x v="2"/>
    <n v="31.2"/>
    <x v="64"/>
    <x v="2"/>
    <d v="2025-01-06T00:00:00"/>
    <x v="2"/>
    <x v="0"/>
    <x v="0"/>
    <x v="0"/>
    <x v="3"/>
    <x v="2"/>
    <x v="0"/>
    <x v="2"/>
  </r>
  <r>
    <x v="65"/>
    <x v="12"/>
    <x v="1"/>
    <n v="113.2"/>
    <x v="65"/>
    <x v="2"/>
    <d v="2025-01-04T00:00:00"/>
    <x v="2"/>
    <x v="4"/>
    <x v="0"/>
    <x v="0"/>
    <x v="3"/>
    <x v="3"/>
    <x v="0"/>
    <x v="2"/>
  </r>
  <r>
    <x v="66"/>
    <x v="10"/>
    <x v="8"/>
    <n v="21"/>
    <x v="66"/>
    <x v="2"/>
    <d v="2025-01-04T00:00:00"/>
    <x v="1"/>
    <x v="0"/>
    <x v="0"/>
    <x v="0"/>
    <x v="6"/>
    <x v="3"/>
    <x v="0"/>
    <x v="1"/>
  </r>
  <r>
    <x v="67"/>
    <x v="1"/>
    <x v="1"/>
    <n v="89.1"/>
    <x v="67"/>
    <x v="2"/>
    <d v="2025-01-04T00:00:00"/>
    <x v="2"/>
    <x v="2"/>
    <x v="2"/>
    <x v="0"/>
    <x v="6"/>
    <x v="3"/>
    <x v="0"/>
    <x v="2"/>
  </r>
  <r>
    <x v="68"/>
    <x v="1"/>
    <x v="0"/>
    <n v="97.7"/>
    <x v="68"/>
    <x v="2"/>
    <d v="2025-01-05T00:00:00"/>
    <x v="2"/>
    <x v="0"/>
    <x v="1"/>
    <x v="0"/>
    <x v="6"/>
    <x v="1"/>
    <x v="0"/>
    <x v="2"/>
  </r>
  <r>
    <x v="69"/>
    <x v="15"/>
    <x v="12"/>
    <n v="97.7"/>
    <x v="69"/>
    <x v="2"/>
    <d v="2025-01-05T00:00:00"/>
    <x v="1"/>
    <x v="3"/>
    <x v="0"/>
    <x v="0"/>
    <x v="6"/>
    <x v="1"/>
    <x v="0"/>
    <x v="1"/>
  </r>
  <r>
    <x v="70"/>
    <x v="17"/>
    <x v="2"/>
    <n v="47.4"/>
    <x v="60"/>
    <x v="2"/>
    <d v="2025-01-06T00:00:00"/>
    <x v="1"/>
    <x v="3"/>
    <x v="2"/>
    <x v="0"/>
    <x v="8"/>
    <x v="2"/>
    <x v="0"/>
    <x v="1"/>
  </r>
  <r>
    <x v="71"/>
    <x v="7"/>
    <x v="0"/>
    <n v="89.6"/>
    <x v="70"/>
    <x v="2"/>
    <d v="2025-01-06T00:00:00"/>
    <x v="2"/>
    <x v="0"/>
    <x v="2"/>
    <x v="0"/>
    <x v="8"/>
    <x v="2"/>
    <x v="0"/>
    <x v="2"/>
  </r>
  <r>
    <x v="72"/>
    <x v="10"/>
    <x v="16"/>
    <n v="28.4"/>
    <x v="71"/>
    <x v="2"/>
    <d v="2025-01-06T00:00:00"/>
    <x v="2"/>
    <x v="3"/>
    <x v="2"/>
    <x v="0"/>
    <x v="17"/>
    <x v="2"/>
    <x v="0"/>
    <x v="2"/>
  </r>
  <r>
    <x v="73"/>
    <x v="0"/>
    <x v="1"/>
    <n v="17.899999999999999"/>
    <x v="72"/>
    <x v="2"/>
    <d v="2025-01-04T00:00:00"/>
    <x v="2"/>
    <x v="0"/>
    <x v="2"/>
    <x v="0"/>
    <x v="9"/>
    <x v="3"/>
    <x v="0"/>
    <x v="2"/>
  </r>
  <r>
    <x v="74"/>
    <x v="9"/>
    <x v="1"/>
    <n v="48.4"/>
    <x v="73"/>
    <x v="2"/>
    <d v="2025-01-06T00:00:00"/>
    <x v="1"/>
    <x v="1"/>
    <x v="0"/>
    <x v="0"/>
    <x v="9"/>
    <x v="2"/>
    <x v="0"/>
    <x v="1"/>
  </r>
  <r>
    <x v="75"/>
    <x v="12"/>
    <x v="12"/>
    <n v="44.4"/>
    <x v="74"/>
    <x v="2"/>
    <d v="2025-01-04T00:00:00"/>
    <x v="3"/>
    <x v="1"/>
    <x v="1"/>
    <x v="0"/>
    <x v="11"/>
    <x v="3"/>
    <x v="0"/>
    <x v="3"/>
  </r>
  <r>
    <x v="76"/>
    <x v="2"/>
    <x v="8"/>
    <n v="103.7"/>
    <x v="75"/>
    <x v="2"/>
    <d v="2025-01-04T00:00:00"/>
    <x v="2"/>
    <x v="0"/>
    <x v="1"/>
    <x v="0"/>
    <x v="19"/>
    <x v="3"/>
    <x v="0"/>
    <x v="2"/>
  </r>
  <r>
    <x v="77"/>
    <x v="5"/>
    <x v="12"/>
    <n v="58.6"/>
    <x v="76"/>
    <x v="2"/>
    <d v="2025-01-05T00:00:00"/>
    <x v="1"/>
    <x v="3"/>
    <x v="0"/>
    <x v="0"/>
    <x v="19"/>
    <x v="1"/>
    <x v="0"/>
    <x v="1"/>
  </r>
  <r>
    <x v="78"/>
    <x v="9"/>
    <x v="12"/>
    <n v="54.8"/>
    <x v="77"/>
    <x v="2"/>
    <d v="2025-01-07T00:00:00"/>
    <x v="2"/>
    <x v="2"/>
    <x v="1"/>
    <x v="0"/>
    <x v="13"/>
    <x v="5"/>
    <x v="0"/>
    <x v="2"/>
  </r>
  <r>
    <x v="79"/>
    <x v="12"/>
    <x v="2"/>
    <n v="78.8"/>
    <x v="78"/>
    <x v="2"/>
    <d v="2025-01-09T00:00:00"/>
    <x v="2"/>
    <x v="4"/>
    <x v="1"/>
    <x v="0"/>
    <x v="21"/>
    <x v="4"/>
    <x v="0"/>
    <x v="2"/>
  </r>
  <r>
    <x v="80"/>
    <x v="18"/>
    <x v="9"/>
    <n v="36.799999999999997"/>
    <x v="79"/>
    <x v="2"/>
    <d v="2025-01-06T00:00:00"/>
    <x v="1"/>
    <x v="4"/>
    <x v="1"/>
    <x v="0"/>
    <x v="22"/>
    <x v="2"/>
    <x v="0"/>
    <x v="1"/>
  </r>
  <r>
    <x v="81"/>
    <x v="6"/>
    <x v="13"/>
    <n v="50.6"/>
    <x v="80"/>
    <x v="2"/>
    <d v="2025-01-05T00:00:00"/>
    <x v="2"/>
    <x v="3"/>
    <x v="0"/>
    <x v="0"/>
    <x v="3"/>
    <x v="1"/>
    <x v="0"/>
    <x v="2"/>
  </r>
  <r>
    <x v="82"/>
    <x v="15"/>
    <x v="2"/>
    <n v="36.799999999999997"/>
    <x v="81"/>
    <x v="2"/>
    <d v="2025-01-03T00:00:00"/>
    <x v="1"/>
    <x v="2"/>
    <x v="1"/>
    <x v="0"/>
    <x v="3"/>
    <x v="7"/>
    <x v="0"/>
    <x v="1"/>
  </r>
  <r>
    <x v="83"/>
    <x v="8"/>
    <x v="11"/>
    <n v="41.8"/>
    <x v="82"/>
    <x v="3"/>
    <d v="2025-01-10T00:00:00"/>
    <x v="2"/>
    <x v="3"/>
    <x v="0"/>
    <x v="0"/>
    <x v="3"/>
    <x v="4"/>
    <x v="0"/>
    <x v="2"/>
  </r>
  <r>
    <x v="84"/>
    <x v="18"/>
    <x v="0"/>
    <n v="77.3"/>
    <x v="83"/>
    <x v="3"/>
    <d v="2025-01-05T00:00:00"/>
    <x v="1"/>
    <x v="4"/>
    <x v="4"/>
    <x v="0"/>
    <x v="3"/>
    <x v="3"/>
    <x v="0"/>
    <x v="1"/>
  </r>
  <r>
    <x v="85"/>
    <x v="8"/>
    <x v="12"/>
    <n v="19.8"/>
    <x v="84"/>
    <x v="3"/>
    <d v="2025-01-10T00:00:00"/>
    <x v="1"/>
    <x v="1"/>
    <x v="2"/>
    <x v="0"/>
    <x v="3"/>
    <x v="4"/>
    <x v="0"/>
    <x v="1"/>
  </r>
  <r>
    <x v="86"/>
    <x v="13"/>
    <x v="12"/>
    <n v="15.5"/>
    <x v="85"/>
    <x v="3"/>
    <d v="2025-01-05T00:00:00"/>
    <x v="2"/>
    <x v="1"/>
    <x v="2"/>
    <x v="0"/>
    <x v="3"/>
    <x v="3"/>
    <x v="0"/>
    <x v="2"/>
  </r>
  <r>
    <x v="87"/>
    <x v="12"/>
    <x v="0"/>
    <n v="46.8"/>
    <x v="86"/>
    <x v="3"/>
    <d v="2025-01-08T00:00:00"/>
    <x v="1"/>
    <x v="0"/>
    <x v="2"/>
    <x v="0"/>
    <x v="3"/>
    <x v="5"/>
    <x v="0"/>
    <x v="1"/>
  </r>
  <r>
    <x v="88"/>
    <x v="9"/>
    <x v="11"/>
    <n v="28.6"/>
    <x v="87"/>
    <x v="3"/>
    <d v="2025-01-08T00:00:00"/>
    <x v="1"/>
    <x v="0"/>
    <x v="2"/>
    <x v="0"/>
    <x v="3"/>
    <x v="5"/>
    <x v="0"/>
    <x v="1"/>
  </r>
  <r>
    <x v="89"/>
    <x v="2"/>
    <x v="0"/>
    <n v="97.7"/>
    <x v="68"/>
    <x v="3"/>
    <d v="2025-01-07T00:00:00"/>
    <x v="2"/>
    <x v="1"/>
    <x v="0"/>
    <x v="0"/>
    <x v="3"/>
    <x v="2"/>
    <x v="0"/>
    <x v="2"/>
  </r>
  <r>
    <x v="90"/>
    <x v="9"/>
    <x v="9"/>
    <n v="54.7"/>
    <x v="88"/>
    <x v="3"/>
    <d v="2025-01-07T00:00:00"/>
    <x v="0"/>
    <x v="0"/>
    <x v="2"/>
    <x v="0"/>
    <x v="23"/>
    <x v="2"/>
    <x v="0"/>
    <x v="0"/>
  </r>
  <r>
    <x v="91"/>
    <x v="2"/>
    <x v="13"/>
    <n v="130.5"/>
    <x v="89"/>
    <x v="3"/>
    <d v="2025-01-06T00:00:00"/>
    <x v="2"/>
    <x v="0"/>
    <x v="1"/>
    <x v="0"/>
    <x v="23"/>
    <x v="1"/>
    <x v="0"/>
    <x v="2"/>
  </r>
  <r>
    <x v="92"/>
    <x v="11"/>
    <x v="1"/>
    <n v="50.4"/>
    <x v="90"/>
    <x v="3"/>
    <d v="2025-01-06T00:00:00"/>
    <x v="1"/>
    <x v="2"/>
    <x v="2"/>
    <x v="0"/>
    <x v="6"/>
    <x v="1"/>
    <x v="0"/>
    <x v="1"/>
  </r>
  <r>
    <x v="93"/>
    <x v="6"/>
    <x v="15"/>
    <n v="61.5"/>
    <x v="91"/>
    <x v="3"/>
    <d v="2025-01-05T00:00:00"/>
    <x v="0"/>
    <x v="3"/>
    <x v="1"/>
    <x v="0"/>
    <x v="11"/>
    <x v="3"/>
    <x v="0"/>
    <x v="0"/>
  </r>
  <r>
    <x v="94"/>
    <x v="9"/>
    <x v="12"/>
    <n v="30.1"/>
    <x v="92"/>
    <x v="3"/>
    <d v="2025-01-05T00:00:00"/>
    <x v="2"/>
    <x v="0"/>
    <x v="2"/>
    <x v="0"/>
    <x v="21"/>
    <x v="3"/>
    <x v="0"/>
    <x v="2"/>
  </r>
  <r>
    <x v="95"/>
    <x v="2"/>
    <x v="9"/>
    <n v="74.8"/>
    <x v="93"/>
    <x v="3"/>
    <d v="2025-01-05T00:00:00"/>
    <x v="2"/>
    <x v="1"/>
    <x v="0"/>
    <x v="0"/>
    <x v="1"/>
    <x v="3"/>
    <x v="0"/>
    <x v="2"/>
  </r>
  <r>
    <x v="96"/>
    <x v="16"/>
    <x v="2"/>
    <n v="64.900000000000006"/>
    <x v="94"/>
    <x v="3"/>
    <d v="2025-01-11T00:00:00"/>
    <x v="1"/>
    <x v="0"/>
    <x v="0"/>
    <x v="0"/>
    <x v="2"/>
    <x v="6"/>
    <x v="0"/>
    <x v="1"/>
  </r>
  <r>
    <x v="97"/>
    <x v="9"/>
    <x v="1"/>
    <n v="50.5"/>
    <x v="95"/>
    <x v="3"/>
    <d v="2025-01-06T00:00:00"/>
    <x v="1"/>
    <x v="1"/>
    <x v="0"/>
    <x v="0"/>
    <x v="22"/>
    <x v="1"/>
    <x v="0"/>
    <x v="1"/>
  </r>
  <r>
    <x v="98"/>
    <x v="11"/>
    <x v="3"/>
    <n v="63"/>
    <x v="96"/>
    <x v="3"/>
    <d v="2025-01-07T00:00:00"/>
    <x v="1"/>
    <x v="3"/>
    <x v="2"/>
    <x v="0"/>
    <x v="3"/>
    <x v="2"/>
    <x v="0"/>
    <x v="1"/>
  </r>
  <r>
    <x v="99"/>
    <x v="2"/>
    <x v="2"/>
    <n v="93.6"/>
    <x v="97"/>
    <x v="3"/>
    <d v="2025-01-17T00:00:00"/>
    <x v="2"/>
    <x v="0"/>
    <x v="2"/>
    <x v="0"/>
    <x v="3"/>
    <x v="10"/>
    <x v="0"/>
    <x v="2"/>
  </r>
  <r>
    <x v="100"/>
    <x v="5"/>
    <x v="17"/>
    <n v="41.4"/>
    <x v="98"/>
    <x v="3"/>
    <d v="2025-01-08T00:00:00"/>
    <x v="1"/>
    <x v="2"/>
    <x v="2"/>
    <x v="0"/>
    <x v="3"/>
    <x v="5"/>
    <x v="0"/>
    <x v="1"/>
  </r>
  <r>
    <x v="101"/>
    <x v="2"/>
    <x v="1"/>
    <n v="160"/>
    <x v="99"/>
    <x v="4"/>
    <d v="2025-01-06T00:00:00"/>
    <x v="1"/>
    <x v="2"/>
    <x v="2"/>
    <x v="0"/>
    <x v="5"/>
    <x v="3"/>
    <x v="1"/>
    <x v="1"/>
  </r>
  <r>
    <x v="102"/>
    <x v="19"/>
    <x v="5"/>
    <n v="10.5"/>
    <x v="100"/>
    <x v="4"/>
    <d v="2025-01-08T00:00:00"/>
    <x v="2"/>
    <x v="4"/>
    <x v="0"/>
    <x v="0"/>
    <x v="8"/>
    <x v="2"/>
    <x v="1"/>
    <x v="2"/>
  </r>
  <r>
    <x v="103"/>
    <x v="10"/>
    <x v="1"/>
    <n v="53"/>
    <x v="101"/>
    <x v="4"/>
    <d v="2025-01-05T00:00:00"/>
    <x v="1"/>
    <x v="2"/>
    <x v="4"/>
    <x v="0"/>
    <x v="17"/>
    <x v="7"/>
    <x v="1"/>
    <x v="1"/>
  </r>
  <r>
    <x v="104"/>
    <x v="8"/>
    <x v="2"/>
    <n v="18.5"/>
    <x v="102"/>
    <x v="4"/>
    <d v="2025-01-10T00:00:00"/>
    <x v="2"/>
    <x v="1"/>
    <x v="2"/>
    <x v="0"/>
    <x v="11"/>
    <x v="0"/>
    <x v="1"/>
    <x v="2"/>
  </r>
  <r>
    <x v="105"/>
    <x v="16"/>
    <x v="2"/>
    <n v="84.5"/>
    <x v="103"/>
    <x v="4"/>
    <d v="2025-01-07T00:00:00"/>
    <x v="2"/>
    <x v="4"/>
    <x v="1"/>
    <x v="0"/>
    <x v="13"/>
    <x v="1"/>
    <x v="1"/>
    <x v="2"/>
  </r>
  <r>
    <x v="106"/>
    <x v="15"/>
    <x v="3"/>
    <n v="31.2"/>
    <x v="104"/>
    <x v="4"/>
    <d v="2025-01-05T00:00:00"/>
    <x v="2"/>
    <x v="2"/>
    <x v="2"/>
    <x v="0"/>
    <x v="3"/>
    <x v="7"/>
    <x v="1"/>
    <x v="2"/>
  </r>
  <r>
    <x v="107"/>
    <x v="8"/>
    <x v="16"/>
    <n v="32.6"/>
    <x v="105"/>
    <x v="4"/>
    <d v="2025-01-06T00:00:00"/>
    <x v="1"/>
    <x v="1"/>
    <x v="1"/>
    <x v="0"/>
    <x v="3"/>
    <x v="3"/>
    <x v="1"/>
    <x v="1"/>
  </r>
  <r>
    <x v="108"/>
    <x v="10"/>
    <x v="12"/>
    <n v="45.4"/>
    <x v="106"/>
    <x v="4"/>
    <d v="2025-01-07T00:00:00"/>
    <x v="1"/>
    <x v="1"/>
    <x v="0"/>
    <x v="0"/>
    <x v="3"/>
    <x v="1"/>
    <x v="1"/>
    <x v="1"/>
  </r>
  <r>
    <x v="109"/>
    <x v="2"/>
    <x v="4"/>
    <n v="120"/>
    <x v="107"/>
    <x v="4"/>
    <d v="2025-01-06T00:00:00"/>
    <x v="2"/>
    <x v="2"/>
    <x v="4"/>
    <x v="0"/>
    <x v="3"/>
    <x v="3"/>
    <x v="1"/>
    <x v="2"/>
  </r>
  <r>
    <x v="110"/>
    <x v="0"/>
    <x v="12"/>
    <n v="18.899999999999999"/>
    <x v="108"/>
    <x v="4"/>
    <d v="2025-01-07T00:00:00"/>
    <x v="1"/>
    <x v="0"/>
    <x v="2"/>
    <x v="0"/>
    <x v="3"/>
    <x v="1"/>
    <x v="1"/>
    <x v="1"/>
  </r>
  <r>
    <x v="111"/>
    <x v="4"/>
    <x v="0"/>
    <n v="32"/>
    <x v="109"/>
    <x v="4"/>
    <d v="2025-01-07T00:00:00"/>
    <x v="2"/>
    <x v="4"/>
    <x v="0"/>
    <x v="0"/>
    <x v="3"/>
    <x v="1"/>
    <x v="1"/>
    <x v="2"/>
  </r>
  <r>
    <x v="112"/>
    <x v="7"/>
    <x v="1"/>
    <n v="37.299999999999997"/>
    <x v="110"/>
    <x v="4"/>
    <d v="2025-01-06T00:00:00"/>
    <x v="1"/>
    <x v="2"/>
    <x v="0"/>
    <x v="0"/>
    <x v="3"/>
    <x v="3"/>
    <x v="1"/>
    <x v="1"/>
  </r>
  <r>
    <x v="113"/>
    <x v="18"/>
    <x v="0"/>
    <n v="119.8"/>
    <x v="111"/>
    <x v="4"/>
    <d v="2025-01-06T00:00:00"/>
    <x v="1"/>
    <x v="1"/>
    <x v="1"/>
    <x v="0"/>
    <x v="3"/>
    <x v="3"/>
    <x v="1"/>
    <x v="1"/>
  </r>
  <r>
    <x v="114"/>
    <x v="10"/>
    <x v="1"/>
    <n v="26.4"/>
    <x v="112"/>
    <x v="4"/>
    <d v="2025-01-08T00:00:00"/>
    <x v="1"/>
    <x v="2"/>
    <x v="0"/>
    <x v="0"/>
    <x v="3"/>
    <x v="2"/>
    <x v="1"/>
    <x v="1"/>
  </r>
  <r>
    <x v="115"/>
    <x v="6"/>
    <x v="13"/>
    <n v="76.5"/>
    <x v="113"/>
    <x v="4"/>
    <d v="2025-01-06T00:00:00"/>
    <x v="2"/>
    <x v="1"/>
    <x v="1"/>
    <x v="0"/>
    <x v="3"/>
    <x v="3"/>
    <x v="1"/>
    <x v="2"/>
  </r>
  <r>
    <x v="116"/>
    <x v="4"/>
    <x v="7"/>
    <n v="45.7"/>
    <x v="114"/>
    <x v="4"/>
    <d v="2025-01-06T00:00:00"/>
    <x v="2"/>
    <x v="2"/>
    <x v="0"/>
    <x v="0"/>
    <x v="24"/>
    <x v="3"/>
    <x v="1"/>
    <x v="2"/>
  </r>
  <r>
    <x v="117"/>
    <x v="1"/>
    <x v="4"/>
    <n v="92.6"/>
    <x v="115"/>
    <x v="4"/>
    <d v="2025-01-07T00:00:00"/>
    <x v="2"/>
    <x v="2"/>
    <x v="0"/>
    <x v="0"/>
    <x v="25"/>
    <x v="1"/>
    <x v="1"/>
    <x v="2"/>
  </r>
  <r>
    <x v="118"/>
    <x v="6"/>
    <x v="13"/>
    <n v="60.1"/>
    <x v="116"/>
    <x v="4"/>
    <d v="2025-01-06T00:00:00"/>
    <x v="1"/>
    <x v="1"/>
    <x v="0"/>
    <x v="0"/>
    <x v="23"/>
    <x v="3"/>
    <x v="1"/>
    <x v="1"/>
  </r>
  <r>
    <x v="119"/>
    <x v="1"/>
    <x v="2"/>
    <n v="73"/>
    <x v="20"/>
    <x v="4"/>
    <d v="2025-01-06T00:00:00"/>
    <x v="2"/>
    <x v="3"/>
    <x v="1"/>
    <x v="0"/>
    <x v="6"/>
    <x v="3"/>
    <x v="1"/>
    <x v="2"/>
  </r>
  <r>
    <x v="120"/>
    <x v="6"/>
    <x v="2"/>
    <n v="44.3"/>
    <x v="117"/>
    <x v="4"/>
    <d v="2025-01-09T00:00:00"/>
    <x v="0"/>
    <x v="2"/>
    <x v="2"/>
    <x v="0"/>
    <x v="6"/>
    <x v="5"/>
    <x v="1"/>
    <x v="0"/>
  </r>
  <r>
    <x v="121"/>
    <x v="6"/>
    <x v="2"/>
    <n v="63.3"/>
    <x v="118"/>
    <x v="4"/>
    <d v="2025-01-06T00:00:00"/>
    <x v="1"/>
    <x v="2"/>
    <x v="0"/>
    <x v="0"/>
    <x v="6"/>
    <x v="3"/>
    <x v="1"/>
    <x v="1"/>
  </r>
  <r>
    <x v="122"/>
    <x v="12"/>
    <x v="0"/>
    <n v="66.8"/>
    <x v="119"/>
    <x v="4"/>
    <d v="2025-01-06T00:00:00"/>
    <x v="2"/>
    <x v="1"/>
    <x v="0"/>
    <x v="0"/>
    <x v="6"/>
    <x v="3"/>
    <x v="1"/>
    <x v="2"/>
  </r>
  <r>
    <x v="123"/>
    <x v="2"/>
    <x v="1"/>
    <n v="59.7"/>
    <x v="120"/>
    <x v="4"/>
    <d v="2025-01-06T00:00:00"/>
    <x v="2"/>
    <x v="0"/>
    <x v="0"/>
    <x v="0"/>
    <x v="7"/>
    <x v="3"/>
    <x v="1"/>
    <x v="2"/>
  </r>
  <r>
    <x v="124"/>
    <x v="1"/>
    <x v="13"/>
    <n v="92"/>
    <x v="121"/>
    <x v="4"/>
    <d v="2025-01-07T00:00:00"/>
    <x v="1"/>
    <x v="0"/>
    <x v="4"/>
    <x v="0"/>
    <x v="7"/>
    <x v="1"/>
    <x v="1"/>
    <x v="1"/>
  </r>
  <r>
    <x v="125"/>
    <x v="7"/>
    <x v="1"/>
    <n v="87.6"/>
    <x v="122"/>
    <x v="4"/>
    <d v="2025-01-07T00:00:00"/>
    <x v="1"/>
    <x v="1"/>
    <x v="1"/>
    <x v="0"/>
    <x v="8"/>
    <x v="1"/>
    <x v="1"/>
    <x v="1"/>
  </r>
  <r>
    <x v="126"/>
    <x v="6"/>
    <x v="2"/>
    <n v="84.5"/>
    <x v="103"/>
    <x v="4"/>
    <d v="2025-01-06T00:00:00"/>
    <x v="2"/>
    <x v="1"/>
    <x v="1"/>
    <x v="0"/>
    <x v="8"/>
    <x v="3"/>
    <x v="1"/>
    <x v="2"/>
  </r>
  <r>
    <x v="127"/>
    <x v="1"/>
    <x v="1"/>
    <n v="116.3"/>
    <x v="123"/>
    <x v="5"/>
    <d v="2025-01-08T00:00:00"/>
    <x v="1"/>
    <x v="2"/>
    <x v="2"/>
    <x v="0"/>
    <x v="8"/>
    <x v="1"/>
    <x v="1"/>
    <x v="1"/>
  </r>
  <r>
    <x v="128"/>
    <x v="6"/>
    <x v="9"/>
    <n v="52.7"/>
    <x v="124"/>
    <x v="5"/>
    <d v="2025-01-10T00:00:00"/>
    <x v="1"/>
    <x v="0"/>
    <x v="0"/>
    <x v="0"/>
    <x v="8"/>
    <x v="5"/>
    <x v="1"/>
    <x v="1"/>
  </r>
  <r>
    <x v="129"/>
    <x v="16"/>
    <x v="2"/>
    <n v="34.200000000000003"/>
    <x v="125"/>
    <x v="5"/>
    <d v="2025-01-07T00:00:00"/>
    <x v="1"/>
    <x v="0"/>
    <x v="2"/>
    <x v="0"/>
    <x v="26"/>
    <x v="3"/>
    <x v="1"/>
    <x v="1"/>
  </r>
  <r>
    <x v="130"/>
    <x v="9"/>
    <x v="0"/>
    <n v="23.3"/>
    <x v="126"/>
    <x v="5"/>
    <d v="2025-01-15T00:00:00"/>
    <x v="3"/>
    <x v="2"/>
    <x v="2"/>
    <x v="0"/>
    <x v="9"/>
    <x v="8"/>
    <x v="1"/>
    <x v="3"/>
  </r>
  <r>
    <x v="131"/>
    <x v="0"/>
    <x v="18"/>
    <n v="25.9"/>
    <x v="127"/>
    <x v="5"/>
    <d v="2025-01-09T00:00:00"/>
    <x v="2"/>
    <x v="4"/>
    <x v="1"/>
    <x v="0"/>
    <x v="9"/>
    <x v="2"/>
    <x v="1"/>
    <x v="2"/>
  </r>
  <r>
    <x v="132"/>
    <x v="6"/>
    <x v="19"/>
    <n v="54.9"/>
    <x v="128"/>
    <x v="5"/>
    <d v="2025-01-07T00:00:00"/>
    <x v="1"/>
    <x v="1"/>
    <x v="2"/>
    <x v="0"/>
    <x v="9"/>
    <x v="3"/>
    <x v="1"/>
    <x v="1"/>
  </r>
  <r>
    <x v="133"/>
    <x v="5"/>
    <x v="2"/>
    <n v="75.8"/>
    <x v="129"/>
    <x v="5"/>
    <d v="2025-01-11T00:00:00"/>
    <x v="3"/>
    <x v="1"/>
    <x v="0"/>
    <x v="0"/>
    <x v="18"/>
    <x v="0"/>
    <x v="1"/>
    <x v="3"/>
  </r>
  <r>
    <x v="134"/>
    <x v="1"/>
    <x v="11"/>
    <n v="44.9"/>
    <x v="130"/>
    <x v="5"/>
    <d v="2025-01-09T00:00:00"/>
    <x v="2"/>
    <x v="2"/>
    <x v="2"/>
    <x v="0"/>
    <x v="2"/>
    <x v="2"/>
    <x v="1"/>
    <x v="2"/>
  </r>
  <r>
    <x v="135"/>
    <x v="11"/>
    <x v="1"/>
    <n v="48.8"/>
    <x v="131"/>
    <x v="5"/>
    <d v="2025-01-08T00:00:00"/>
    <x v="2"/>
    <x v="3"/>
    <x v="0"/>
    <x v="0"/>
    <x v="27"/>
    <x v="1"/>
    <x v="1"/>
    <x v="2"/>
  </r>
  <r>
    <x v="136"/>
    <x v="15"/>
    <x v="0"/>
    <n v="20.3"/>
    <x v="132"/>
    <x v="5"/>
    <d v="2025-01-07T00:00:00"/>
    <x v="2"/>
    <x v="0"/>
    <x v="2"/>
    <x v="0"/>
    <x v="22"/>
    <x v="3"/>
    <x v="1"/>
    <x v="2"/>
  </r>
  <r>
    <x v="137"/>
    <x v="5"/>
    <x v="3"/>
    <n v="36.4"/>
    <x v="133"/>
    <x v="5"/>
    <d v="2025-01-09T00:00:00"/>
    <x v="2"/>
    <x v="0"/>
    <x v="1"/>
    <x v="0"/>
    <x v="3"/>
    <x v="2"/>
    <x v="1"/>
    <x v="2"/>
  </r>
  <r>
    <x v="138"/>
    <x v="0"/>
    <x v="0"/>
    <n v="19"/>
    <x v="134"/>
    <x v="5"/>
    <d v="2025-01-11T00:00:00"/>
    <x v="2"/>
    <x v="1"/>
    <x v="2"/>
    <x v="0"/>
    <x v="3"/>
    <x v="0"/>
    <x v="1"/>
    <x v="2"/>
  </r>
  <r>
    <x v="139"/>
    <x v="8"/>
    <x v="0"/>
    <n v="17.8"/>
    <x v="135"/>
    <x v="5"/>
    <d v="2025-01-06T00:00:00"/>
    <x v="1"/>
    <x v="0"/>
    <x v="0"/>
    <x v="0"/>
    <x v="3"/>
    <x v="7"/>
    <x v="1"/>
    <x v="1"/>
  </r>
  <r>
    <x v="140"/>
    <x v="2"/>
    <x v="13"/>
    <n v="139.6"/>
    <x v="136"/>
    <x v="5"/>
    <d v="2025-01-09T00:00:00"/>
    <x v="1"/>
    <x v="0"/>
    <x v="0"/>
    <x v="0"/>
    <x v="3"/>
    <x v="2"/>
    <x v="1"/>
    <x v="1"/>
  </r>
  <r>
    <x v="141"/>
    <x v="9"/>
    <x v="0"/>
    <n v="31.7"/>
    <x v="137"/>
    <x v="5"/>
    <d v="2025-01-06T00:00:00"/>
    <x v="0"/>
    <x v="0"/>
    <x v="0"/>
    <x v="0"/>
    <x v="3"/>
    <x v="7"/>
    <x v="1"/>
    <x v="0"/>
  </r>
  <r>
    <x v="142"/>
    <x v="8"/>
    <x v="8"/>
    <n v="26.3"/>
    <x v="138"/>
    <x v="5"/>
    <d v="2025-01-09T00:00:00"/>
    <x v="2"/>
    <x v="4"/>
    <x v="4"/>
    <x v="0"/>
    <x v="3"/>
    <x v="2"/>
    <x v="1"/>
    <x v="2"/>
  </r>
  <r>
    <x v="143"/>
    <x v="4"/>
    <x v="1"/>
    <n v="47.8"/>
    <x v="139"/>
    <x v="5"/>
    <d v="2025-01-07T00:00:00"/>
    <x v="0"/>
    <x v="0"/>
    <x v="0"/>
    <x v="0"/>
    <x v="3"/>
    <x v="3"/>
    <x v="1"/>
    <x v="0"/>
  </r>
  <r>
    <x v="144"/>
    <x v="9"/>
    <x v="2"/>
    <n v="69.400000000000006"/>
    <x v="140"/>
    <x v="5"/>
    <d v="2025-01-10T00:00:00"/>
    <x v="2"/>
    <x v="0"/>
    <x v="0"/>
    <x v="0"/>
    <x v="3"/>
    <x v="5"/>
    <x v="1"/>
    <x v="2"/>
  </r>
  <r>
    <x v="145"/>
    <x v="18"/>
    <x v="4"/>
    <n v="25.8"/>
    <x v="141"/>
    <x v="5"/>
    <d v="2025-01-07T00:00:00"/>
    <x v="1"/>
    <x v="4"/>
    <x v="4"/>
    <x v="0"/>
    <x v="3"/>
    <x v="3"/>
    <x v="1"/>
    <x v="1"/>
  </r>
  <r>
    <x v="146"/>
    <x v="0"/>
    <x v="12"/>
    <n v="26.4"/>
    <x v="142"/>
    <x v="5"/>
    <d v="2025-01-07T00:00:00"/>
    <x v="1"/>
    <x v="1"/>
    <x v="2"/>
    <x v="0"/>
    <x v="3"/>
    <x v="3"/>
    <x v="1"/>
    <x v="1"/>
  </r>
  <r>
    <x v="147"/>
    <x v="8"/>
    <x v="12"/>
    <n v="15.7"/>
    <x v="143"/>
    <x v="5"/>
    <d v="2025-01-07T00:00:00"/>
    <x v="1"/>
    <x v="2"/>
    <x v="0"/>
    <x v="0"/>
    <x v="3"/>
    <x v="3"/>
    <x v="1"/>
    <x v="1"/>
  </r>
  <r>
    <x v="148"/>
    <x v="8"/>
    <x v="0"/>
    <n v="39.700000000000003"/>
    <x v="144"/>
    <x v="5"/>
    <d v="2025-01-10T00:00:00"/>
    <x v="1"/>
    <x v="0"/>
    <x v="0"/>
    <x v="0"/>
    <x v="3"/>
    <x v="5"/>
    <x v="1"/>
    <x v="1"/>
  </r>
  <r>
    <x v="149"/>
    <x v="10"/>
    <x v="12"/>
    <n v="31.1"/>
    <x v="145"/>
    <x v="5"/>
    <d v="2025-01-08T00:00:00"/>
    <x v="2"/>
    <x v="2"/>
    <x v="1"/>
    <x v="0"/>
    <x v="3"/>
    <x v="1"/>
    <x v="1"/>
    <x v="2"/>
  </r>
  <r>
    <x v="150"/>
    <x v="13"/>
    <x v="20"/>
    <n v="23.4"/>
    <x v="146"/>
    <x v="5"/>
    <d v="2025-01-15T00:00:00"/>
    <x v="1"/>
    <x v="0"/>
    <x v="0"/>
    <x v="0"/>
    <x v="3"/>
    <x v="8"/>
    <x v="1"/>
    <x v="1"/>
  </r>
  <r>
    <x v="151"/>
    <x v="1"/>
    <x v="12"/>
    <n v="57.1"/>
    <x v="147"/>
    <x v="6"/>
    <d v="2025-01-08T00:00:00"/>
    <x v="1"/>
    <x v="2"/>
    <x v="0"/>
    <x v="0"/>
    <x v="25"/>
    <x v="3"/>
    <x v="1"/>
    <x v="1"/>
  </r>
  <r>
    <x v="152"/>
    <x v="2"/>
    <x v="9"/>
    <n v="89.9"/>
    <x v="148"/>
    <x v="6"/>
    <d v="2025-01-07T00:00:00"/>
    <x v="2"/>
    <x v="0"/>
    <x v="3"/>
    <x v="0"/>
    <x v="23"/>
    <x v="7"/>
    <x v="1"/>
    <x v="2"/>
  </r>
  <r>
    <x v="153"/>
    <x v="10"/>
    <x v="3"/>
    <n v="48.1"/>
    <x v="149"/>
    <x v="6"/>
    <d v="2025-01-09T00:00:00"/>
    <x v="2"/>
    <x v="1"/>
    <x v="2"/>
    <x v="0"/>
    <x v="6"/>
    <x v="1"/>
    <x v="1"/>
    <x v="2"/>
  </r>
  <r>
    <x v="154"/>
    <x v="8"/>
    <x v="1"/>
    <n v="29.3"/>
    <x v="150"/>
    <x v="6"/>
    <d v="2025-01-07T00:00:00"/>
    <x v="2"/>
    <x v="1"/>
    <x v="1"/>
    <x v="0"/>
    <x v="6"/>
    <x v="7"/>
    <x v="1"/>
    <x v="2"/>
  </r>
  <r>
    <x v="155"/>
    <x v="8"/>
    <x v="12"/>
    <n v="28.8"/>
    <x v="151"/>
    <x v="6"/>
    <d v="2025-01-08T00:00:00"/>
    <x v="2"/>
    <x v="0"/>
    <x v="4"/>
    <x v="0"/>
    <x v="6"/>
    <x v="3"/>
    <x v="1"/>
    <x v="2"/>
  </r>
  <r>
    <x v="156"/>
    <x v="10"/>
    <x v="9"/>
    <n v="40.5"/>
    <x v="152"/>
    <x v="6"/>
    <d v="2025-01-11T00:00:00"/>
    <x v="2"/>
    <x v="3"/>
    <x v="0"/>
    <x v="0"/>
    <x v="6"/>
    <x v="5"/>
    <x v="1"/>
    <x v="2"/>
  </r>
  <r>
    <x v="157"/>
    <x v="18"/>
    <x v="21"/>
    <n v="65.099999999999994"/>
    <x v="153"/>
    <x v="6"/>
    <d v="2025-01-08T00:00:00"/>
    <x v="2"/>
    <x v="4"/>
    <x v="0"/>
    <x v="0"/>
    <x v="7"/>
    <x v="3"/>
    <x v="1"/>
    <x v="2"/>
  </r>
  <r>
    <x v="158"/>
    <x v="8"/>
    <x v="12"/>
    <n v="40.299999999999997"/>
    <x v="154"/>
    <x v="6"/>
    <d v="2025-01-12T00:00:00"/>
    <x v="2"/>
    <x v="2"/>
    <x v="0"/>
    <x v="0"/>
    <x v="7"/>
    <x v="0"/>
    <x v="1"/>
    <x v="2"/>
  </r>
  <r>
    <x v="159"/>
    <x v="6"/>
    <x v="9"/>
    <n v="51.8"/>
    <x v="155"/>
    <x v="6"/>
    <d v="2025-01-08T00:00:00"/>
    <x v="1"/>
    <x v="2"/>
    <x v="2"/>
    <x v="0"/>
    <x v="8"/>
    <x v="3"/>
    <x v="1"/>
    <x v="1"/>
  </r>
  <r>
    <x v="160"/>
    <x v="6"/>
    <x v="2"/>
    <n v="61.3"/>
    <x v="156"/>
    <x v="6"/>
    <d v="2025-01-08T00:00:00"/>
    <x v="2"/>
    <x v="3"/>
    <x v="0"/>
    <x v="0"/>
    <x v="8"/>
    <x v="3"/>
    <x v="1"/>
    <x v="2"/>
  </r>
  <r>
    <x v="161"/>
    <x v="2"/>
    <x v="12"/>
    <n v="122.5"/>
    <x v="157"/>
    <x v="6"/>
    <d v="2025-01-08T00:00:00"/>
    <x v="1"/>
    <x v="0"/>
    <x v="0"/>
    <x v="0"/>
    <x v="8"/>
    <x v="3"/>
    <x v="1"/>
    <x v="1"/>
  </r>
  <r>
    <x v="162"/>
    <x v="0"/>
    <x v="11"/>
    <n v="12.5"/>
    <x v="158"/>
    <x v="6"/>
    <d v="2025-01-08T00:00:00"/>
    <x v="0"/>
    <x v="1"/>
    <x v="2"/>
    <x v="0"/>
    <x v="8"/>
    <x v="3"/>
    <x v="1"/>
    <x v="0"/>
  </r>
  <r>
    <x v="163"/>
    <x v="15"/>
    <x v="8"/>
    <n v="37.5"/>
    <x v="159"/>
    <x v="6"/>
    <d v="2025-01-08T00:00:00"/>
    <x v="2"/>
    <x v="0"/>
    <x v="0"/>
    <x v="0"/>
    <x v="9"/>
    <x v="3"/>
    <x v="1"/>
    <x v="2"/>
  </r>
  <r>
    <x v="164"/>
    <x v="6"/>
    <x v="2"/>
    <n v="40"/>
    <x v="160"/>
    <x v="6"/>
    <d v="2025-01-10T00:00:00"/>
    <x v="1"/>
    <x v="0"/>
    <x v="4"/>
    <x v="0"/>
    <x v="11"/>
    <x v="2"/>
    <x v="1"/>
    <x v="1"/>
  </r>
  <r>
    <x v="165"/>
    <x v="17"/>
    <x v="8"/>
    <n v="38.5"/>
    <x v="161"/>
    <x v="6"/>
    <d v="2025-01-12T00:00:00"/>
    <x v="2"/>
    <x v="2"/>
    <x v="1"/>
    <x v="0"/>
    <x v="11"/>
    <x v="0"/>
    <x v="1"/>
    <x v="2"/>
  </r>
  <r>
    <x v="166"/>
    <x v="2"/>
    <x v="1"/>
    <n v="86.4"/>
    <x v="162"/>
    <x v="6"/>
    <d v="2025-01-09T00:00:00"/>
    <x v="2"/>
    <x v="0"/>
    <x v="0"/>
    <x v="0"/>
    <x v="18"/>
    <x v="1"/>
    <x v="1"/>
    <x v="2"/>
  </r>
  <r>
    <x v="167"/>
    <x v="10"/>
    <x v="0"/>
    <n v="50.7"/>
    <x v="163"/>
    <x v="6"/>
    <d v="2025-01-11T00:00:00"/>
    <x v="2"/>
    <x v="1"/>
    <x v="0"/>
    <x v="0"/>
    <x v="18"/>
    <x v="5"/>
    <x v="1"/>
    <x v="2"/>
  </r>
  <r>
    <x v="168"/>
    <x v="10"/>
    <x v="1"/>
    <n v="61"/>
    <x v="164"/>
    <x v="6"/>
    <d v="2025-01-18T00:00:00"/>
    <x v="2"/>
    <x v="4"/>
    <x v="1"/>
    <x v="0"/>
    <x v="18"/>
    <x v="11"/>
    <x v="1"/>
    <x v="2"/>
  </r>
  <r>
    <x v="169"/>
    <x v="4"/>
    <x v="1"/>
    <n v="19.899999999999999"/>
    <x v="165"/>
    <x v="6"/>
    <d v="2025-01-10T00:00:00"/>
    <x v="2"/>
    <x v="1"/>
    <x v="0"/>
    <x v="0"/>
    <x v="28"/>
    <x v="2"/>
    <x v="1"/>
    <x v="2"/>
  </r>
  <r>
    <x v="170"/>
    <x v="5"/>
    <x v="0"/>
    <n v="78.3"/>
    <x v="166"/>
    <x v="6"/>
    <d v="2025-01-07T00:00:00"/>
    <x v="2"/>
    <x v="0"/>
    <x v="2"/>
    <x v="0"/>
    <x v="1"/>
    <x v="7"/>
    <x v="1"/>
    <x v="2"/>
  </r>
  <r>
    <x v="171"/>
    <x v="0"/>
    <x v="10"/>
    <n v="10.4"/>
    <x v="167"/>
    <x v="6"/>
    <d v="2025-01-09T00:00:00"/>
    <x v="1"/>
    <x v="0"/>
    <x v="2"/>
    <x v="0"/>
    <x v="2"/>
    <x v="1"/>
    <x v="1"/>
    <x v="1"/>
  </r>
  <r>
    <x v="172"/>
    <x v="10"/>
    <x v="0"/>
    <n v="36.1"/>
    <x v="168"/>
    <x v="6"/>
    <d v="2025-01-10T00:00:00"/>
    <x v="1"/>
    <x v="3"/>
    <x v="2"/>
    <x v="0"/>
    <x v="3"/>
    <x v="2"/>
    <x v="1"/>
    <x v="1"/>
  </r>
  <r>
    <x v="173"/>
    <x v="14"/>
    <x v="1"/>
    <n v="17.3"/>
    <x v="169"/>
    <x v="6"/>
    <d v="2025-01-09T00:00:00"/>
    <x v="2"/>
    <x v="1"/>
    <x v="2"/>
    <x v="0"/>
    <x v="3"/>
    <x v="1"/>
    <x v="1"/>
    <x v="2"/>
  </r>
  <r>
    <x v="174"/>
    <x v="10"/>
    <x v="1"/>
    <n v="30.5"/>
    <x v="170"/>
    <x v="6"/>
    <d v="2025-01-08T00:00:00"/>
    <x v="2"/>
    <x v="1"/>
    <x v="2"/>
    <x v="0"/>
    <x v="3"/>
    <x v="3"/>
    <x v="1"/>
    <x v="2"/>
  </r>
  <r>
    <x v="175"/>
    <x v="18"/>
    <x v="22"/>
    <n v="70.099999999999994"/>
    <x v="171"/>
    <x v="6"/>
    <d v="2025-01-07T00:00:00"/>
    <x v="2"/>
    <x v="2"/>
    <x v="0"/>
    <x v="0"/>
    <x v="3"/>
    <x v="7"/>
    <x v="1"/>
    <x v="2"/>
  </r>
  <r>
    <x v="176"/>
    <x v="3"/>
    <x v="0"/>
    <n v="76.099999999999994"/>
    <x v="172"/>
    <x v="6"/>
    <d v="2025-01-07T00:00:00"/>
    <x v="2"/>
    <x v="2"/>
    <x v="1"/>
    <x v="0"/>
    <x v="3"/>
    <x v="7"/>
    <x v="1"/>
    <x v="2"/>
  </r>
  <r>
    <x v="177"/>
    <x v="15"/>
    <x v="15"/>
    <n v="34.200000000000003"/>
    <x v="173"/>
    <x v="6"/>
    <d v="2025-01-08T00:00:00"/>
    <x v="1"/>
    <x v="0"/>
    <x v="0"/>
    <x v="0"/>
    <x v="3"/>
    <x v="3"/>
    <x v="1"/>
    <x v="1"/>
  </r>
  <r>
    <x v="178"/>
    <x v="8"/>
    <x v="9"/>
    <n v="30.3"/>
    <x v="174"/>
    <x v="6"/>
    <d v="2025-01-12T00:00:00"/>
    <x v="2"/>
    <x v="4"/>
    <x v="0"/>
    <x v="0"/>
    <x v="3"/>
    <x v="0"/>
    <x v="1"/>
    <x v="2"/>
  </r>
  <r>
    <x v="179"/>
    <x v="6"/>
    <x v="9"/>
    <n v="52.5"/>
    <x v="175"/>
    <x v="6"/>
    <d v="2025-01-11T00:00:00"/>
    <x v="0"/>
    <x v="3"/>
    <x v="0"/>
    <x v="0"/>
    <x v="3"/>
    <x v="5"/>
    <x v="1"/>
    <x v="0"/>
  </r>
  <r>
    <x v="180"/>
    <x v="9"/>
    <x v="5"/>
    <n v="28.7"/>
    <x v="176"/>
    <x v="6"/>
    <d v="2025-01-08T00:00:00"/>
    <x v="2"/>
    <x v="2"/>
    <x v="0"/>
    <x v="0"/>
    <x v="3"/>
    <x v="3"/>
    <x v="1"/>
    <x v="2"/>
  </r>
  <r>
    <x v="181"/>
    <x v="7"/>
    <x v="3"/>
    <n v="52"/>
    <x v="177"/>
    <x v="6"/>
    <d v="2025-01-08T00:00:00"/>
    <x v="1"/>
    <x v="1"/>
    <x v="4"/>
    <x v="0"/>
    <x v="3"/>
    <x v="3"/>
    <x v="1"/>
    <x v="1"/>
  </r>
  <r>
    <x v="182"/>
    <x v="0"/>
    <x v="0"/>
    <n v="13.3"/>
    <x v="178"/>
    <x v="7"/>
    <d v="2025-01-12T00:00:00"/>
    <x v="2"/>
    <x v="2"/>
    <x v="1"/>
    <x v="0"/>
    <x v="3"/>
    <x v="5"/>
    <x v="1"/>
    <x v="2"/>
  </r>
  <r>
    <x v="183"/>
    <x v="0"/>
    <x v="2"/>
    <n v="15.7"/>
    <x v="179"/>
    <x v="7"/>
    <d v="2025-01-09T00:00:00"/>
    <x v="2"/>
    <x v="1"/>
    <x v="0"/>
    <x v="0"/>
    <x v="29"/>
    <x v="3"/>
    <x v="1"/>
    <x v="2"/>
  </r>
  <r>
    <x v="184"/>
    <x v="8"/>
    <x v="1"/>
    <n v="25.6"/>
    <x v="180"/>
    <x v="7"/>
    <d v="2025-01-09T00:00:00"/>
    <x v="1"/>
    <x v="0"/>
    <x v="2"/>
    <x v="0"/>
    <x v="23"/>
    <x v="3"/>
    <x v="1"/>
    <x v="1"/>
  </r>
  <r>
    <x v="185"/>
    <x v="8"/>
    <x v="0"/>
    <n v="43.4"/>
    <x v="181"/>
    <x v="7"/>
    <d v="2025-01-13T00:00:00"/>
    <x v="1"/>
    <x v="0"/>
    <x v="0"/>
    <x v="0"/>
    <x v="6"/>
    <x v="0"/>
    <x v="1"/>
    <x v="1"/>
  </r>
  <r>
    <x v="186"/>
    <x v="11"/>
    <x v="11"/>
    <n v="33.4"/>
    <x v="182"/>
    <x v="7"/>
    <d v="2025-01-08T00:00:00"/>
    <x v="2"/>
    <x v="0"/>
    <x v="0"/>
    <x v="0"/>
    <x v="8"/>
    <x v="7"/>
    <x v="1"/>
    <x v="2"/>
  </r>
  <r>
    <x v="187"/>
    <x v="8"/>
    <x v="10"/>
    <n v="55"/>
    <x v="183"/>
    <x v="7"/>
    <d v="2025-01-09T00:00:00"/>
    <x v="2"/>
    <x v="1"/>
    <x v="2"/>
    <x v="0"/>
    <x v="8"/>
    <x v="3"/>
    <x v="1"/>
    <x v="2"/>
  </r>
  <r>
    <x v="188"/>
    <x v="8"/>
    <x v="2"/>
    <n v="23.6"/>
    <x v="184"/>
    <x v="7"/>
    <d v="2025-01-09T00:00:00"/>
    <x v="1"/>
    <x v="0"/>
    <x v="2"/>
    <x v="0"/>
    <x v="8"/>
    <x v="3"/>
    <x v="1"/>
    <x v="1"/>
  </r>
  <r>
    <x v="189"/>
    <x v="12"/>
    <x v="11"/>
    <n v="104"/>
    <x v="185"/>
    <x v="7"/>
    <d v="2025-01-10T00:00:00"/>
    <x v="2"/>
    <x v="2"/>
    <x v="2"/>
    <x v="0"/>
    <x v="17"/>
    <x v="1"/>
    <x v="1"/>
    <x v="2"/>
  </r>
  <r>
    <x v="190"/>
    <x v="6"/>
    <x v="1"/>
    <n v="51.8"/>
    <x v="186"/>
    <x v="7"/>
    <d v="2025-01-12T00:00:00"/>
    <x v="0"/>
    <x v="0"/>
    <x v="2"/>
    <x v="0"/>
    <x v="10"/>
    <x v="5"/>
    <x v="1"/>
    <x v="0"/>
  </r>
  <r>
    <x v="191"/>
    <x v="10"/>
    <x v="9"/>
    <n v="34.5"/>
    <x v="187"/>
    <x v="7"/>
    <d v="2025-01-10T00:00:00"/>
    <x v="0"/>
    <x v="2"/>
    <x v="2"/>
    <x v="0"/>
    <x v="11"/>
    <x v="1"/>
    <x v="1"/>
    <x v="0"/>
  </r>
  <r>
    <x v="192"/>
    <x v="6"/>
    <x v="1"/>
    <n v="51.8"/>
    <x v="186"/>
    <x v="7"/>
    <d v="2025-01-10T00:00:00"/>
    <x v="1"/>
    <x v="1"/>
    <x v="2"/>
    <x v="0"/>
    <x v="30"/>
    <x v="1"/>
    <x v="1"/>
    <x v="1"/>
  </r>
  <r>
    <x v="193"/>
    <x v="18"/>
    <x v="23"/>
    <n v="131.5"/>
    <x v="188"/>
    <x v="7"/>
    <d v="2025-01-09T00:00:00"/>
    <x v="2"/>
    <x v="0"/>
    <x v="2"/>
    <x v="0"/>
    <x v="18"/>
    <x v="3"/>
    <x v="1"/>
    <x v="2"/>
  </r>
  <r>
    <x v="194"/>
    <x v="8"/>
    <x v="3"/>
    <n v="47.8"/>
    <x v="189"/>
    <x v="7"/>
    <d v="2025-01-08T00:00:00"/>
    <x v="2"/>
    <x v="0"/>
    <x v="0"/>
    <x v="0"/>
    <x v="19"/>
    <x v="7"/>
    <x v="1"/>
    <x v="2"/>
  </r>
  <r>
    <x v="195"/>
    <x v="0"/>
    <x v="1"/>
    <n v="10.199999999999999"/>
    <x v="190"/>
    <x v="7"/>
    <d v="2025-01-10T00:00:00"/>
    <x v="2"/>
    <x v="0"/>
    <x v="0"/>
    <x v="0"/>
    <x v="19"/>
    <x v="1"/>
    <x v="1"/>
    <x v="2"/>
  </r>
  <r>
    <x v="196"/>
    <x v="8"/>
    <x v="8"/>
    <n v="41"/>
    <x v="191"/>
    <x v="7"/>
    <d v="2025-01-08T00:00:00"/>
    <x v="2"/>
    <x v="1"/>
    <x v="2"/>
    <x v="0"/>
    <x v="19"/>
    <x v="7"/>
    <x v="1"/>
    <x v="2"/>
  </r>
  <r>
    <x v="197"/>
    <x v="10"/>
    <x v="3"/>
    <n v="50.8"/>
    <x v="192"/>
    <x v="7"/>
    <d v="2025-01-11T00:00:00"/>
    <x v="2"/>
    <x v="1"/>
    <x v="0"/>
    <x v="0"/>
    <x v="21"/>
    <x v="2"/>
    <x v="1"/>
    <x v="2"/>
  </r>
  <r>
    <x v="198"/>
    <x v="18"/>
    <x v="2"/>
    <n v="39.6"/>
    <x v="193"/>
    <x v="7"/>
    <d v="2025-01-09T00:00:00"/>
    <x v="1"/>
    <x v="2"/>
    <x v="2"/>
    <x v="0"/>
    <x v="1"/>
    <x v="3"/>
    <x v="1"/>
    <x v="1"/>
  </r>
  <r>
    <x v="199"/>
    <x v="5"/>
    <x v="1"/>
    <n v="69.5"/>
    <x v="194"/>
    <x v="7"/>
    <d v="2025-01-10T00:00:00"/>
    <x v="1"/>
    <x v="0"/>
    <x v="2"/>
    <x v="0"/>
    <x v="2"/>
    <x v="1"/>
    <x v="1"/>
    <x v="1"/>
  </r>
  <r>
    <x v="200"/>
    <x v="8"/>
    <x v="8"/>
    <n v="32.6"/>
    <x v="195"/>
    <x v="7"/>
    <d v="2025-01-11T00:00:00"/>
    <x v="1"/>
    <x v="1"/>
    <x v="0"/>
    <x v="0"/>
    <x v="3"/>
    <x v="2"/>
    <x v="1"/>
    <x v="1"/>
  </r>
  <r>
    <x v="201"/>
    <x v="7"/>
    <x v="1"/>
    <n v="49.1"/>
    <x v="196"/>
    <x v="7"/>
    <d v="2025-01-16T00:00:00"/>
    <x v="1"/>
    <x v="3"/>
    <x v="2"/>
    <x v="0"/>
    <x v="3"/>
    <x v="9"/>
    <x v="1"/>
    <x v="1"/>
  </r>
  <r>
    <x v="202"/>
    <x v="6"/>
    <x v="1"/>
    <n v="49.4"/>
    <x v="197"/>
    <x v="8"/>
    <d v="2025-01-10T00:00:00"/>
    <x v="2"/>
    <x v="2"/>
    <x v="0"/>
    <x v="0"/>
    <x v="3"/>
    <x v="3"/>
    <x v="1"/>
    <x v="2"/>
  </r>
  <r>
    <x v="203"/>
    <x v="7"/>
    <x v="3"/>
    <n v="65.099999999999994"/>
    <x v="198"/>
    <x v="8"/>
    <d v="2025-01-12T00:00:00"/>
    <x v="2"/>
    <x v="2"/>
    <x v="2"/>
    <x v="0"/>
    <x v="3"/>
    <x v="2"/>
    <x v="1"/>
    <x v="2"/>
  </r>
  <r>
    <x v="204"/>
    <x v="3"/>
    <x v="1"/>
    <n v="52.1"/>
    <x v="199"/>
    <x v="8"/>
    <d v="2025-01-13T00:00:00"/>
    <x v="2"/>
    <x v="2"/>
    <x v="0"/>
    <x v="0"/>
    <x v="3"/>
    <x v="5"/>
    <x v="1"/>
    <x v="2"/>
  </r>
  <r>
    <x v="205"/>
    <x v="2"/>
    <x v="12"/>
    <n v="129.19999999999999"/>
    <x v="200"/>
    <x v="8"/>
    <d v="2025-01-10T00:00:00"/>
    <x v="2"/>
    <x v="1"/>
    <x v="0"/>
    <x v="0"/>
    <x v="3"/>
    <x v="3"/>
    <x v="1"/>
    <x v="2"/>
  </r>
  <r>
    <x v="206"/>
    <x v="1"/>
    <x v="10"/>
    <n v="81.8"/>
    <x v="201"/>
    <x v="8"/>
    <d v="2025-01-09T00:00:00"/>
    <x v="2"/>
    <x v="1"/>
    <x v="1"/>
    <x v="0"/>
    <x v="3"/>
    <x v="7"/>
    <x v="1"/>
    <x v="2"/>
  </r>
  <r>
    <x v="207"/>
    <x v="17"/>
    <x v="0"/>
    <n v="24.9"/>
    <x v="202"/>
    <x v="8"/>
    <d v="2025-01-13T00:00:00"/>
    <x v="2"/>
    <x v="1"/>
    <x v="0"/>
    <x v="0"/>
    <x v="3"/>
    <x v="5"/>
    <x v="1"/>
    <x v="2"/>
  </r>
  <r>
    <x v="208"/>
    <x v="0"/>
    <x v="2"/>
    <n v="49.4"/>
    <x v="203"/>
    <x v="8"/>
    <d v="2025-01-12T00:00:00"/>
    <x v="2"/>
    <x v="4"/>
    <x v="4"/>
    <x v="0"/>
    <x v="3"/>
    <x v="2"/>
    <x v="1"/>
    <x v="2"/>
  </r>
  <r>
    <x v="209"/>
    <x v="8"/>
    <x v="1"/>
    <n v="22.7"/>
    <x v="204"/>
    <x v="8"/>
    <d v="2025-01-10T00:00:00"/>
    <x v="1"/>
    <x v="3"/>
    <x v="2"/>
    <x v="0"/>
    <x v="3"/>
    <x v="3"/>
    <x v="1"/>
    <x v="1"/>
  </r>
  <r>
    <x v="210"/>
    <x v="1"/>
    <x v="0"/>
    <n v="77.3"/>
    <x v="83"/>
    <x v="8"/>
    <d v="2025-01-09T00:00:00"/>
    <x v="2"/>
    <x v="0"/>
    <x v="2"/>
    <x v="0"/>
    <x v="6"/>
    <x v="7"/>
    <x v="1"/>
    <x v="2"/>
  </r>
  <r>
    <x v="211"/>
    <x v="1"/>
    <x v="9"/>
    <n v="109.1"/>
    <x v="205"/>
    <x v="8"/>
    <d v="2025-01-12T00:00:00"/>
    <x v="2"/>
    <x v="0"/>
    <x v="0"/>
    <x v="0"/>
    <x v="6"/>
    <x v="2"/>
    <x v="1"/>
    <x v="2"/>
  </r>
  <r>
    <x v="212"/>
    <x v="2"/>
    <x v="12"/>
    <n v="53.9"/>
    <x v="206"/>
    <x v="8"/>
    <d v="2025-01-10T00:00:00"/>
    <x v="1"/>
    <x v="0"/>
    <x v="1"/>
    <x v="0"/>
    <x v="8"/>
    <x v="3"/>
    <x v="1"/>
    <x v="1"/>
  </r>
  <r>
    <x v="213"/>
    <x v="9"/>
    <x v="18"/>
    <n v="21.2"/>
    <x v="207"/>
    <x v="8"/>
    <d v="2025-01-09T00:00:00"/>
    <x v="2"/>
    <x v="0"/>
    <x v="0"/>
    <x v="0"/>
    <x v="9"/>
    <x v="7"/>
    <x v="1"/>
    <x v="2"/>
  </r>
  <r>
    <x v="214"/>
    <x v="16"/>
    <x v="12"/>
    <n v="69"/>
    <x v="208"/>
    <x v="8"/>
    <d v="2025-01-11T00:00:00"/>
    <x v="2"/>
    <x v="1"/>
    <x v="1"/>
    <x v="0"/>
    <x v="18"/>
    <x v="1"/>
    <x v="1"/>
    <x v="2"/>
  </r>
  <r>
    <x v="215"/>
    <x v="6"/>
    <x v="2"/>
    <n v="46.2"/>
    <x v="209"/>
    <x v="8"/>
    <d v="2025-01-11T00:00:00"/>
    <x v="2"/>
    <x v="0"/>
    <x v="2"/>
    <x v="0"/>
    <x v="31"/>
    <x v="1"/>
    <x v="1"/>
    <x v="2"/>
  </r>
  <r>
    <x v="216"/>
    <x v="1"/>
    <x v="9"/>
    <n v="97.4"/>
    <x v="210"/>
    <x v="8"/>
    <d v="2025-01-13T00:00:00"/>
    <x v="2"/>
    <x v="4"/>
    <x v="2"/>
    <x v="0"/>
    <x v="21"/>
    <x v="5"/>
    <x v="1"/>
    <x v="2"/>
  </r>
  <r>
    <x v="217"/>
    <x v="8"/>
    <x v="9"/>
    <n v="21"/>
    <x v="211"/>
    <x v="8"/>
    <d v="2025-01-10T00:00:00"/>
    <x v="1"/>
    <x v="0"/>
    <x v="1"/>
    <x v="0"/>
    <x v="21"/>
    <x v="3"/>
    <x v="1"/>
    <x v="1"/>
  </r>
  <r>
    <x v="218"/>
    <x v="5"/>
    <x v="1"/>
    <n v="32.700000000000003"/>
    <x v="212"/>
    <x v="9"/>
    <d v="2025-01-13T00:00:00"/>
    <x v="2"/>
    <x v="1"/>
    <x v="0"/>
    <x v="0"/>
    <x v="2"/>
    <x v="2"/>
    <x v="1"/>
    <x v="2"/>
  </r>
  <r>
    <x v="219"/>
    <x v="6"/>
    <x v="12"/>
    <n v="48"/>
    <x v="213"/>
    <x v="9"/>
    <d v="2025-01-11T00:00:00"/>
    <x v="1"/>
    <x v="3"/>
    <x v="0"/>
    <x v="0"/>
    <x v="3"/>
    <x v="3"/>
    <x v="1"/>
    <x v="1"/>
  </r>
  <r>
    <x v="220"/>
    <x v="6"/>
    <x v="2"/>
    <n v="68.2"/>
    <x v="214"/>
    <x v="9"/>
    <d v="2025-01-14T00:00:00"/>
    <x v="0"/>
    <x v="0"/>
    <x v="2"/>
    <x v="0"/>
    <x v="3"/>
    <x v="5"/>
    <x v="1"/>
    <x v="0"/>
  </r>
  <r>
    <x v="221"/>
    <x v="5"/>
    <x v="0"/>
    <n v="45.4"/>
    <x v="204"/>
    <x v="9"/>
    <d v="2025-01-12T00:00:00"/>
    <x v="1"/>
    <x v="1"/>
    <x v="0"/>
    <x v="0"/>
    <x v="3"/>
    <x v="1"/>
    <x v="1"/>
    <x v="1"/>
  </r>
  <r>
    <x v="222"/>
    <x v="12"/>
    <x v="1"/>
    <n v="53.9"/>
    <x v="215"/>
    <x v="9"/>
    <d v="2025-01-11T00:00:00"/>
    <x v="2"/>
    <x v="2"/>
    <x v="0"/>
    <x v="0"/>
    <x v="3"/>
    <x v="3"/>
    <x v="1"/>
    <x v="2"/>
  </r>
  <r>
    <x v="223"/>
    <x v="2"/>
    <x v="12"/>
    <n v="62.1"/>
    <x v="216"/>
    <x v="9"/>
    <d v="2025-01-14T00:00:00"/>
    <x v="2"/>
    <x v="0"/>
    <x v="0"/>
    <x v="0"/>
    <x v="4"/>
    <x v="5"/>
    <x v="1"/>
    <x v="2"/>
  </r>
  <r>
    <x v="224"/>
    <x v="13"/>
    <x v="3"/>
    <n v="33.1"/>
    <x v="217"/>
    <x v="9"/>
    <d v="2025-01-15T00:00:00"/>
    <x v="1"/>
    <x v="1"/>
    <x v="0"/>
    <x v="0"/>
    <x v="6"/>
    <x v="0"/>
    <x v="1"/>
    <x v="1"/>
  </r>
  <r>
    <x v="225"/>
    <x v="18"/>
    <x v="9"/>
    <n v="35.200000000000003"/>
    <x v="218"/>
    <x v="9"/>
    <d v="2025-01-10T00:00:00"/>
    <x v="2"/>
    <x v="1"/>
    <x v="0"/>
    <x v="0"/>
    <x v="6"/>
    <x v="7"/>
    <x v="1"/>
    <x v="2"/>
  </r>
  <r>
    <x v="226"/>
    <x v="9"/>
    <x v="2"/>
    <n v="32.1"/>
    <x v="219"/>
    <x v="9"/>
    <d v="2025-01-15T00:00:00"/>
    <x v="1"/>
    <x v="3"/>
    <x v="0"/>
    <x v="0"/>
    <x v="8"/>
    <x v="0"/>
    <x v="1"/>
    <x v="1"/>
  </r>
  <r>
    <x v="227"/>
    <x v="11"/>
    <x v="0"/>
    <n v="38.1"/>
    <x v="220"/>
    <x v="9"/>
    <d v="2025-01-15T00:00:00"/>
    <x v="2"/>
    <x v="0"/>
    <x v="2"/>
    <x v="0"/>
    <x v="8"/>
    <x v="0"/>
    <x v="1"/>
    <x v="2"/>
  </r>
  <r>
    <x v="228"/>
    <x v="8"/>
    <x v="0"/>
    <n v="65.2"/>
    <x v="221"/>
    <x v="9"/>
    <d v="2025-01-15T00:00:00"/>
    <x v="2"/>
    <x v="3"/>
    <x v="1"/>
    <x v="0"/>
    <x v="8"/>
    <x v="0"/>
    <x v="1"/>
    <x v="2"/>
  </r>
  <r>
    <x v="229"/>
    <x v="10"/>
    <x v="3"/>
    <n v="55.2"/>
    <x v="222"/>
    <x v="9"/>
    <d v="2025-01-11T00:00:00"/>
    <x v="1"/>
    <x v="2"/>
    <x v="0"/>
    <x v="0"/>
    <x v="11"/>
    <x v="3"/>
    <x v="1"/>
    <x v="1"/>
  </r>
  <r>
    <x v="230"/>
    <x v="6"/>
    <x v="0"/>
    <n v="62"/>
    <x v="85"/>
    <x v="9"/>
    <d v="2025-01-14T00:00:00"/>
    <x v="2"/>
    <x v="0"/>
    <x v="0"/>
    <x v="0"/>
    <x v="11"/>
    <x v="5"/>
    <x v="1"/>
    <x v="2"/>
  </r>
  <r>
    <x v="231"/>
    <x v="7"/>
    <x v="2"/>
    <n v="45.9"/>
    <x v="223"/>
    <x v="9"/>
    <d v="2025-01-11T00:00:00"/>
    <x v="2"/>
    <x v="2"/>
    <x v="0"/>
    <x v="0"/>
    <x v="32"/>
    <x v="3"/>
    <x v="1"/>
    <x v="2"/>
  </r>
  <r>
    <x v="232"/>
    <x v="18"/>
    <x v="2"/>
    <n v="58.3"/>
    <x v="224"/>
    <x v="9"/>
    <d v="2025-01-10T00:00:00"/>
    <x v="1"/>
    <x v="1"/>
    <x v="1"/>
    <x v="0"/>
    <x v="18"/>
    <x v="7"/>
    <x v="1"/>
    <x v="1"/>
  </r>
  <r>
    <x v="233"/>
    <x v="8"/>
    <x v="1"/>
    <n v="22.3"/>
    <x v="225"/>
    <x v="9"/>
    <d v="2025-01-13T00:00:00"/>
    <x v="2"/>
    <x v="0"/>
    <x v="2"/>
    <x v="0"/>
    <x v="20"/>
    <x v="2"/>
    <x v="1"/>
    <x v="2"/>
  </r>
  <r>
    <x v="234"/>
    <x v="19"/>
    <x v="9"/>
    <n v="24"/>
    <x v="160"/>
    <x v="9"/>
    <d v="2025-01-11T00:00:00"/>
    <x v="1"/>
    <x v="4"/>
    <x v="0"/>
    <x v="0"/>
    <x v="1"/>
    <x v="3"/>
    <x v="1"/>
    <x v="1"/>
  </r>
  <r>
    <x v="235"/>
    <x v="0"/>
    <x v="7"/>
    <n v="21.3"/>
    <x v="226"/>
    <x v="9"/>
    <d v="2025-01-10T00:00:00"/>
    <x v="2"/>
    <x v="1"/>
    <x v="2"/>
    <x v="0"/>
    <x v="22"/>
    <x v="7"/>
    <x v="1"/>
    <x v="2"/>
  </r>
  <r>
    <x v="236"/>
    <x v="6"/>
    <x v="24"/>
    <n v="57.8"/>
    <x v="227"/>
    <x v="9"/>
    <d v="2025-01-12T00:00:00"/>
    <x v="2"/>
    <x v="0"/>
    <x v="2"/>
    <x v="0"/>
    <x v="3"/>
    <x v="1"/>
    <x v="1"/>
    <x v="2"/>
  </r>
  <r>
    <x v="237"/>
    <x v="10"/>
    <x v="2"/>
    <n v="67.599999999999994"/>
    <x v="228"/>
    <x v="9"/>
    <d v="2025-01-11T00:00:00"/>
    <x v="2"/>
    <x v="0"/>
    <x v="0"/>
    <x v="0"/>
    <x v="3"/>
    <x v="3"/>
    <x v="1"/>
    <x v="2"/>
  </r>
  <r>
    <x v="238"/>
    <x v="6"/>
    <x v="13"/>
    <n v="66.7"/>
    <x v="229"/>
    <x v="9"/>
    <d v="2025-01-14T00:00:00"/>
    <x v="1"/>
    <x v="4"/>
    <x v="1"/>
    <x v="0"/>
    <x v="3"/>
    <x v="5"/>
    <x v="1"/>
    <x v="1"/>
  </r>
  <r>
    <x v="239"/>
    <x v="1"/>
    <x v="12"/>
    <n v="53.1"/>
    <x v="230"/>
    <x v="9"/>
    <d v="2025-01-12T00:00:00"/>
    <x v="2"/>
    <x v="1"/>
    <x v="0"/>
    <x v="0"/>
    <x v="3"/>
    <x v="1"/>
    <x v="1"/>
    <x v="2"/>
  </r>
  <r>
    <x v="240"/>
    <x v="12"/>
    <x v="2"/>
    <n v="57.4"/>
    <x v="231"/>
    <x v="9"/>
    <d v="2025-01-13T00:00:00"/>
    <x v="2"/>
    <x v="0"/>
    <x v="2"/>
    <x v="0"/>
    <x v="29"/>
    <x v="2"/>
    <x v="1"/>
    <x v="2"/>
  </r>
  <r>
    <x v="241"/>
    <x v="2"/>
    <x v="9"/>
    <n v="58.1"/>
    <x v="232"/>
    <x v="9"/>
    <d v="2025-01-10T00:00:00"/>
    <x v="1"/>
    <x v="2"/>
    <x v="2"/>
    <x v="0"/>
    <x v="6"/>
    <x v="7"/>
    <x v="1"/>
    <x v="1"/>
  </r>
  <r>
    <x v="242"/>
    <x v="5"/>
    <x v="2"/>
    <n v="31.8"/>
    <x v="233"/>
    <x v="10"/>
    <d v="2025-01-13T00:00:00"/>
    <x v="1"/>
    <x v="3"/>
    <x v="0"/>
    <x v="0"/>
    <x v="6"/>
    <x v="1"/>
    <x v="1"/>
    <x v="1"/>
  </r>
  <r>
    <x v="243"/>
    <x v="4"/>
    <x v="2"/>
    <n v="31.5"/>
    <x v="234"/>
    <x v="10"/>
    <d v="2025-01-14T00:00:00"/>
    <x v="1"/>
    <x v="0"/>
    <x v="1"/>
    <x v="0"/>
    <x v="8"/>
    <x v="2"/>
    <x v="1"/>
    <x v="1"/>
  </r>
  <r>
    <x v="244"/>
    <x v="6"/>
    <x v="3"/>
    <n v="55.9"/>
    <x v="235"/>
    <x v="10"/>
    <d v="2025-01-15T00:00:00"/>
    <x v="2"/>
    <x v="1"/>
    <x v="2"/>
    <x v="0"/>
    <x v="8"/>
    <x v="5"/>
    <x v="1"/>
    <x v="2"/>
  </r>
  <r>
    <x v="245"/>
    <x v="8"/>
    <x v="1"/>
    <n v="36.4"/>
    <x v="236"/>
    <x v="10"/>
    <d v="2025-01-12T00:00:00"/>
    <x v="1"/>
    <x v="1"/>
    <x v="1"/>
    <x v="0"/>
    <x v="9"/>
    <x v="3"/>
    <x v="1"/>
    <x v="1"/>
  </r>
  <r>
    <x v="246"/>
    <x v="1"/>
    <x v="9"/>
    <n v="47.3"/>
    <x v="237"/>
    <x v="10"/>
    <d v="2025-01-14T00:00:00"/>
    <x v="1"/>
    <x v="2"/>
    <x v="0"/>
    <x v="0"/>
    <x v="10"/>
    <x v="2"/>
    <x v="1"/>
    <x v="1"/>
  </r>
  <r>
    <x v="247"/>
    <x v="6"/>
    <x v="2"/>
    <n v="82.5"/>
    <x v="238"/>
    <x v="10"/>
    <d v="2025-01-12T00:00:00"/>
    <x v="1"/>
    <x v="0"/>
    <x v="0"/>
    <x v="0"/>
    <x v="11"/>
    <x v="3"/>
    <x v="1"/>
    <x v="1"/>
  </r>
  <r>
    <x v="248"/>
    <x v="0"/>
    <x v="0"/>
    <n v="14.3"/>
    <x v="239"/>
    <x v="10"/>
    <d v="2025-01-12T00:00:00"/>
    <x v="2"/>
    <x v="0"/>
    <x v="0"/>
    <x v="0"/>
    <x v="21"/>
    <x v="3"/>
    <x v="1"/>
    <x v="2"/>
  </r>
  <r>
    <x v="249"/>
    <x v="2"/>
    <x v="13"/>
    <n v="57.6"/>
    <x v="240"/>
    <x v="10"/>
    <d v="2025-01-25T00:00:00"/>
    <x v="2"/>
    <x v="0"/>
    <x v="0"/>
    <x v="0"/>
    <x v="21"/>
    <x v="12"/>
    <x v="1"/>
    <x v="2"/>
  </r>
  <r>
    <x v="250"/>
    <x v="2"/>
    <x v="2"/>
    <n v="142.4"/>
    <x v="241"/>
    <x v="10"/>
    <d v="2025-01-13T00:00:00"/>
    <x v="1"/>
    <x v="4"/>
    <x v="1"/>
    <x v="0"/>
    <x v="21"/>
    <x v="1"/>
    <x v="1"/>
    <x v="1"/>
  </r>
  <r>
    <x v="251"/>
    <x v="12"/>
    <x v="0"/>
    <n v="30.2"/>
    <x v="242"/>
    <x v="10"/>
    <d v="2025-01-15T00:00:00"/>
    <x v="1"/>
    <x v="1"/>
    <x v="2"/>
    <x v="0"/>
    <x v="2"/>
    <x v="5"/>
    <x v="1"/>
    <x v="1"/>
  </r>
  <r>
    <x v="252"/>
    <x v="18"/>
    <x v="2"/>
    <n v="65.3"/>
    <x v="243"/>
    <x v="10"/>
    <d v="2025-01-12T00:00:00"/>
    <x v="3"/>
    <x v="1"/>
    <x v="0"/>
    <x v="0"/>
    <x v="33"/>
    <x v="3"/>
    <x v="1"/>
    <x v="3"/>
  </r>
  <r>
    <x v="253"/>
    <x v="0"/>
    <x v="1"/>
    <n v="33.4"/>
    <x v="119"/>
    <x v="10"/>
    <d v="2025-01-12T00:00:00"/>
    <x v="1"/>
    <x v="1"/>
    <x v="1"/>
    <x v="0"/>
    <x v="22"/>
    <x v="3"/>
    <x v="1"/>
    <x v="1"/>
  </r>
  <r>
    <x v="254"/>
    <x v="7"/>
    <x v="1"/>
    <n v="45.1"/>
    <x v="244"/>
    <x v="10"/>
    <d v="2025-01-19T00:00:00"/>
    <x v="1"/>
    <x v="0"/>
    <x v="0"/>
    <x v="0"/>
    <x v="34"/>
    <x v="9"/>
    <x v="1"/>
    <x v="1"/>
  </r>
  <r>
    <x v="255"/>
    <x v="2"/>
    <x v="3"/>
    <n v="61.7"/>
    <x v="245"/>
    <x v="10"/>
    <d v="2025-01-13T00:00:00"/>
    <x v="2"/>
    <x v="4"/>
    <x v="0"/>
    <x v="0"/>
    <x v="3"/>
    <x v="1"/>
    <x v="1"/>
    <x v="2"/>
  </r>
  <r>
    <x v="256"/>
    <x v="9"/>
    <x v="2"/>
    <n v="45.1"/>
    <x v="246"/>
    <x v="11"/>
    <d v="2025-01-13T00:00:00"/>
    <x v="1"/>
    <x v="4"/>
    <x v="1"/>
    <x v="0"/>
    <x v="3"/>
    <x v="3"/>
    <x v="2"/>
    <x v="1"/>
  </r>
  <r>
    <x v="257"/>
    <x v="15"/>
    <x v="9"/>
    <n v="22.7"/>
    <x v="247"/>
    <x v="11"/>
    <d v="2025-01-17T00:00:00"/>
    <x v="1"/>
    <x v="0"/>
    <x v="2"/>
    <x v="0"/>
    <x v="35"/>
    <x v="0"/>
    <x v="2"/>
    <x v="1"/>
  </r>
  <r>
    <x v="258"/>
    <x v="8"/>
    <x v="0"/>
    <n v="17.600000000000001"/>
    <x v="248"/>
    <x v="11"/>
    <d v="2025-01-13T00:00:00"/>
    <x v="2"/>
    <x v="0"/>
    <x v="2"/>
    <x v="0"/>
    <x v="23"/>
    <x v="3"/>
    <x v="2"/>
    <x v="2"/>
  </r>
  <r>
    <x v="259"/>
    <x v="14"/>
    <x v="1"/>
    <n v="11.3"/>
    <x v="249"/>
    <x v="11"/>
    <d v="2025-01-15T00:00:00"/>
    <x v="2"/>
    <x v="3"/>
    <x v="2"/>
    <x v="0"/>
    <x v="23"/>
    <x v="2"/>
    <x v="2"/>
    <x v="2"/>
  </r>
  <r>
    <x v="260"/>
    <x v="6"/>
    <x v="2"/>
    <n v="53.4"/>
    <x v="250"/>
    <x v="11"/>
    <d v="2025-01-15T00:00:00"/>
    <x v="1"/>
    <x v="3"/>
    <x v="2"/>
    <x v="0"/>
    <x v="36"/>
    <x v="2"/>
    <x v="2"/>
    <x v="1"/>
  </r>
  <r>
    <x v="261"/>
    <x v="6"/>
    <x v="5"/>
    <n v="51.1"/>
    <x v="251"/>
    <x v="11"/>
    <d v="2025-01-14T00:00:00"/>
    <x v="2"/>
    <x v="2"/>
    <x v="2"/>
    <x v="0"/>
    <x v="8"/>
    <x v="1"/>
    <x v="2"/>
    <x v="2"/>
  </r>
  <r>
    <x v="262"/>
    <x v="8"/>
    <x v="1"/>
    <n v="27.5"/>
    <x v="252"/>
    <x v="11"/>
    <d v="2025-01-13T00:00:00"/>
    <x v="1"/>
    <x v="4"/>
    <x v="1"/>
    <x v="0"/>
    <x v="8"/>
    <x v="3"/>
    <x v="2"/>
    <x v="1"/>
  </r>
  <r>
    <x v="263"/>
    <x v="9"/>
    <x v="0"/>
    <n v="33.5"/>
    <x v="253"/>
    <x v="11"/>
    <d v="2025-01-14T00:00:00"/>
    <x v="2"/>
    <x v="0"/>
    <x v="4"/>
    <x v="0"/>
    <x v="8"/>
    <x v="1"/>
    <x v="2"/>
    <x v="2"/>
  </r>
  <r>
    <x v="264"/>
    <x v="4"/>
    <x v="0"/>
    <n v="59.5"/>
    <x v="254"/>
    <x v="11"/>
    <d v="2025-01-12T00:00:00"/>
    <x v="1"/>
    <x v="0"/>
    <x v="2"/>
    <x v="0"/>
    <x v="18"/>
    <x v="7"/>
    <x v="2"/>
    <x v="1"/>
  </r>
  <r>
    <x v="265"/>
    <x v="17"/>
    <x v="12"/>
    <n v="23.5"/>
    <x v="255"/>
    <x v="11"/>
    <d v="2025-01-13T00:00:00"/>
    <x v="2"/>
    <x v="3"/>
    <x v="3"/>
    <x v="0"/>
    <x v="19"/>
    <x v="3"/>
    <x v="2"/>
    <x v="2"/>
  </r>
  <r>
    <x v="266"/>
    <x v="6"/>
    <x v="0"/>
    <n v="49.7"/>
    <x v="256"/>
    <x v="11"/>
    <d v="2025-01-13T00:00:00"/>
    <x v="0"/>
    <x v="1"/>
    <x v="2"/>
    <x v="0"/>
    <x v="20"/>
    <x v="3"/>
    <x v="2"/>
    <x v="0"/>
  </r>
  <r>
    <x v="267"/>
    <x v="6"/>
    <x v="12"/>
    <n v="44.2"/>
    <x v="257"/>
    <x v="11"/>
    <d v="2025-01-15T00:00:00"/>
    <x v="2"/>
    <x v="0"/>
    <x v="2"/>
    <x v="0"/>
    <x v="21"/>
    <x v="2"/>
    <x v="2"/>
    <x v="2"/>
  </r>
  <r>
    <x v="268"/>
    <x v="8"/>
    <x v="0"/>
    <n v="22.1"/>
    <x v="258"/>
    <x v="11"/>
    <d v="2025-01-16T00:00:00"/>
    <x v="2"/>
    <x v="1"/>
    <x v="1"/>
    <x v="0"/>
    <x v="33"/>
    <x v="5"/>
    <x v="2"/>
    <x v="2"/>
  </r>
  <r>
    <x v="269"/>
    <x v="6"/>
    <x v="2"/>
    <n v="90.9"/>
    <x v="259"/>
    <x v="11"/>
    <d v="2025-01-13T00:00:00"/>
    <x v="2"/>
    <x v="2"/>
    <x v="4"/>
    <x v="0"/>
    <x v="3"/>
    <x v="3"/>
    <x v="2"/>
    <x v="2"/>
  </r>
  <r>
    <x v="270"/>
    <x v="8"/>
    <x v="2"/>
    <n v="44.5"/>
    <x v="260"/>
    <x v="11"/>
    <d v="2025-01-13T00:00:00"/>
    <x v="2"/>
    <x v="1"/>
    <x v="0"/>
    <x v="0"/>
    <x v="3"/>
    <x v="3"/>
    <x v="2"/>
    <x v="2"/>
  </r>
  <r>
    <x v="271"/>
    <x v="9"/>
    <x v="13"/>
    <n v="32.299999999999997"/>
    <x v="261"/>
    <x v="11"/>
    <d v="2025-01-16T00:00:00"/>
    <x v="2"/>
    <x v="0"/>
    <x v="0"/>
    <x v="0"/>
    <x v="3"/>
    <x v="5"/>
    <x v="2"/>
    <x v="2"/>
  </r>
  <r>
    <x v="272"/>
    <x v="17"/>
    <x v="2"/>
    <n v="87.5"/>
    <x v="175"/>
    <x v="11"/>
    <d v="2025-01-13T00:00:00"/>
    <x v="2"/>
    <x v="1"/>
    <x v="1"/>
    <x v="0"/>
    <x v="3"/>
    <x v="3"/>
    <x v="2"/>
    <x v="2"/>
  </r>
  <r>
    <x v="273"/>
    <x v="16"/>
    <x v="9"/>
    <n v="48.7"/>
    <x v="262"/>
    <x v="11"/>
    <d v="2025-01-13T00:00:00"/>
    <x v="1"/>
    <x v="2"/>
    <x v="0"/>
    <x v="0"/>
    <x v="3"/>
    <x v="3"/>
    <x v="2"/>
    <x v="1"/>
  </r>
  <r>
    <x v="274"/>
    <x v="0"/>
    <x v="9"/>
    <n v="22.5"/>
    <x v="158"/>
    <x v="11"/>
    <d v="2025-01-13T00:00:00"/>
    <x v="1"/>
    <x v="0"/>
    <x v="0"/>
    <x v="0"/>
    <x v="3"/>
    <x v="3"/>
    <x v="2"/>
    <x v="1"/>
  </r>
  <r>
    <x v="275"/>
    <x v="1"/>
    <x v="8"/>
    <n v="65.900000000000006"/>
    <x v="263"/>
    <x v="11"/>
    <d v="2025-01-15T00:00:00"/>
    <x v="2"/>
    <x v="1"/>
    <x v="2"/>
    <x v="0"/>
    <x v="3"/>
    <x v="2"/>
    <x v="2"/>
    <x v="2"/>
  </r>
  <r>
    <x v="276"/>
    <x v="6"/>
    <x v="9"/>
    <n v="41.9"/>
    <x v="264"/>
    <x v="11"/>
    <d v="2025-01-19T00:00:00"/>
    <x v="0"/>
    <x v="0"/>
    <x v="0"/>
    <x v="0"/>
    <x v="3"/>
    <x v="6"/>
    <x v="2"/>
    <x v="0"/>
  </r>
  <r>
    <x v="277"/>
    <x v="1"/>
    <x v="9"/>
    <n v="67.5"/>
    <x v="265"/>
    <x v="11"/>
    <d v="2025-01-13T00:00:00"/>
    <x v="2"/>
    <x v="0"/>
    <x v="2"/>
    <x v="0"/>
    <x v="3"/>
    <x v="3"/>
    <x v="2"/>
    <x v="2"/>
  </r>
  <r>
    <x v="278"/>
    <x v="9"/>
    <x v="0"/>
    <n v="60.4"/>
    <x v="266"/>
    <x v="12"/>
    <d v="2025-01-15T00:00:00"/>
    <x v="2"/>
    <x v="1"/>
    <x v="1"/>
    <x v="0"/>
    <x v="3"/>
    <x v="1"/>
    <x v="2"/>
    <x v="2"/>
  </r>
  <r>
    <x v="279"/>
    <x v="1"/>
    <x v="3"/>
    <n v="30.4"/>
    <x v="267"/>
    <x v="12"/>
    <d v="2025-01-16T00:00:00"/>
    <x v="2"/>
    <x v="4"/>
    <x v="0"/>
    <x v="0"/>
    <x v="3"/>
    <x v="2"/>
    <x v="2"/>
    <x v="2"/>
  </r>
  <r>
    <x v="280"/>
    <x v="14"/>
    <x v="1"/>
    <n v="24.5"/>
    <x v="268"/>
    <x v="12"/>
    <d v="2025-01-14T00:00:00"/>
    <x v="1"/>
    <x v="3"/>
    <x v="2"/>
    <x v="0"/>
    <x v="3"/>
    <x v="3"/>
    <x v="2"/>
    <x v="1"/>
  </r>
  <r>
    <x v="281"/>
    <x v="2"/>
    <x v="2"/>
    <n v="105.9"/>
    <x v="269"/>
    <x v="12"/>
    <d v="2025-01-18T00:00:00"/>
    <x v="1"/>
    <x v="0"/>
    <x v="0"/>
    <x v="0"/>
    <x v="37"/>
    <x v="0"/>
    <x v="2"/>
    <x v="1"/>
  </r>
  <r>
    <x v="282"/>
    <x v="10"/>
    <x v="25"/>
    <n v="25.9"/>
    <x v="270"/>
    <x v="12"/>
    <d v="2025-01-14T00:00:00"/>
    <x v="2"/>
    <x v="4"/>
    <x v="0"/>
    <x v="0"/>
    <x v="23"/>
    <x v="3"/>
    <x v="2"/>
    <x v="2"/>
  </r>
  <r>
    <x v="283"/>
    <x v="6"/>
    <x v="2"/>
    <n v="66.8"/>
    <x v="271"/>
    <x v="12"/>
    <d v="2025-01-13T00:00:00"/>
    <x v="1"/>
    <x v="0"/>
    <x v="0"/>
    <x v="0"/>
    <x v="23"/>
    <x v="7"/>
    <x v="2"/>
    <x v="1"/>
  </r>
  <r>
    <x v="284"/>
    <x v="6"/>
    <x v="2"/>
    <n v="112.3"/>
    <x v="272"/>
    <x v="12"/>
    <d v="2025-01-14T00:00:00"/>
    <x v="1"/>
    <x v="2"/>
    <x v="4"/>
    <x v="0"/>
    <x v="6"/>
    <x v="3"/>
    <x v="2"/>
    <x v="1"/>
  </r>
  <r>
    <x v="285"/>
    <x v="1"/>
    <x v="13"/>
    <n v="94.1"/>
    <x v="273"/>
    <x v="12"/>
    <d v="2025-01-14T00:00:00"/>
    <x v="2"/>
    <x v="0"/>
    <x v="4"/>
    <x v="0"/>
    <x v="6"/>
    <x v="3"/>
    <x v="2"/>
    <x v="2"/>
  </r>
  <r>
    <x v="286"/>
    <x v="5"/>
    <x v="0"/>
    <n v="40.700000000000003"/>
    <x v="274"/>
    <x v="12"/>
    <d v="2025-01-16T00:00:00"/>
    <x v="2"/>
    <x v="2"/>
    <x v="0"/>
    <x v="0"/>
    <x v="6"/>
    <x v="2"/>
    <x v="2"/>
    <x v="2"/>
  </r>
  <r>
    <x v="287"/>
    <x v="3"/>
    <x v="1"/>
    <n v="71.400000000000006"/>
    <x v="275"/>
    <x v="12"/>
    <d v="2025-01-14T00:00:00"/>
    <x v="1"/>
    <x v="0"/>
    <x v="0"/>
    <x v="0"/>
    <x v="7"/>
    <x v="3"/>
    <x v="2"/>
    <x v="1"/>
  </r>
  <r>
    <x v="288"/>
    <x v="0"/>
    <x v="16"/>
    <n v="15.6"/>
    <x v="276"/>
    <x v="12"/>
    <d v="2025-01-14T00:00:00"/>
    <x v="1"/>
    <x v="1"/>
    <x v="3"/>
    <x v="0"/>
    <x v="8"/>
    <x v="3"/>
    <x v="2"/>
    <x v="1"/>
  </r>
  <r>
    <x v="289"/>
    <x v="10"/>
    <x v="12"/>
    <n v="37.799999999999997"/>
    <x v="277"/>
    <x v="12"/>
    <d v="2025-01-14T00:00:00"/>
    <x v="1"/>
    <x v="2"/>
    <x v="2"/>
    <x v="0"/>
    <x v="8"/>
    <x v="3"/>
    <x v="2"/>
    <x v="1"/>
  </r>
  <r>
    <x v="290"/>
    <x v="4"/>
    <x v="2"/>
    <n v="28.1"/>
    <x v="278"/>
    <x v="12"/>
    <d v="2025-01-17T00:00:00"/>
    <x v="1"/>
    <x v="0"/>
    <x v="0"/>
    <x v="0"/>
    <x v="8"/>
    <x v="5"/>
    <x v="2"/>
    <x v="1"/>
  </r>
  <r>
    <x v="291"/>
    <x v="7"/>
    <x v="13"/>
    <n v="51.4"/>
    <x v="279"/>
    <x v="12"/>
    <d v="2025-01-17T00:00:00"/>
    <x v="1"/>
    <x v="0"/>
    <x v="0"/>
    <x v="0"/>
    <x v="8"/>
    <x v="5"/>
    <x v="2"/>
    <x v="1"/>
  </r>
  <r>
    <x v="292"/>
    <x v="7"/>
    <x v="1"/>
    <n v="97.7"/>
    <x v="280"/>
    <x v="12"/>
    <d v="2025-01-15T00:00:00"/>
    <x v="2"/>
    <x v="4"/>
    <x v="2"/>
    <x v="0"/>
    <x v="17"/>
    <x v="1"/>
    <x v="2"/>
    <x v="2"/>
  </r>
  <r>
    <x v="293"/>
    <x v="1"/>
    <x v="12"/>
    <n v="63.8"/>
    <x v="281"/>
    <x v="12"/>
    <d v="2025-01-14T00:00:00"/>
    <x v="1"/>
    <x v="2"/>
    <x v="0"/>
    <x v="0"/>
    <x v="38"/>
    <x v="3"/>
    <x v="2"/>
    <x v="1"/>
  </r>
  <r>
    <x v="294"/>
    <x v="13"/>
    <x v="1"/>
    <n v="20.100000000000001"/>
    <x v="282"/>
    <x v="12"/>
    <d v="2025-01-15T00:00:00"/>
    <x v="1"/>
    <x v="0"/>
    <x v="2"/>
    <x v="0"/>
    <x v="20"/>
    <x v="1"/>
    <x v="2"/>
    <x v="1"/>
  </r>
  <r>
    <x v="295"/>
    <x v="11"/>
    <x v="2"/>
    <n v="50.4"/>
    <x v="277"/>
    <x v="12"/>
    <d v="2025-01-16T00:00:00"/>
    <x v="2"/>
    <x v="3"/>
    <x v="0"/>
    <x v="0"/>
    <x v="13"/>
    <x v="2"/>
    <x v="2"/>
    <x v="2"/>
  </r>
  <r>
    <x v="296"/>
    <x v="0"/>
    <x v="0"/>
    <n v="16.2"/>
    <x v="283"/>
    <x v="12"/>
    <d v="2025-01-26T00:00:00"/>
    <x v="2"/>
    <x v="1"/>
    <x v="0"/>
    <x v="0"/>
    <x v="1"/>
    <x v="10"/>
    <x v="2"/>
    <x v="2"/>
  </r>
  <r>
    <x v="297"/>
    <x v="6"/>
    <x v="3"/>
    <n v="80.900000000000006"/>
    <x v="284"/>
    <x v="12"/>
    <d v="2025-01-15T00:00:00"/>
    <x v="1"/>
    <x v="4"/>
    <x v="4"/>
    <x v="0"/>
    <x v="2"/>
    <x v="1"/>
    <x v="2"/>
    <x v="1"/>
  </r>
  <r>
    <x v="298"/>
    <x v="9"/>
    <x v="13"/>
    <n v="95.2"/>
    <x v="285"/>
    <x v="12"/>
    <d v="2025-01-15T00:00:00"/>
    <x v="2"/>
    <x v="0"/>
    <x v="2"/>
    <x v="0"/>
    <x v="2"/>
    <x v="1"/>
    <x v="2"/>
    <x v="2"/>
  </r>
  <r>
    <x v="299"/>
    <x v="5"/>
    <x v="8"/>
    <n v="70.400000000000006"/>
    <x v="286"/>
    <x v="12"/>
    <d v="2025-01-14T00:00:00"/>
    <x v="1"/>
    <x v="1"/>
    <x v="1"/>
    <x v="0"/>
    <x v="3"/>
    <x v="3"/>
    <x v="2"/>
    <x v="1"/>
  </r>
  <r>
    <x v="300"/>
    <x v="0"/>
    <x v="9"/>
    <n v="10.7"/>
    <x v="287"/>
    <x v="12"/>
    <d v="2025-01-17T00:00:00"/>
    <x v="2"/>
    <x v="2"/>
    <x v="0"/>
    <x v="0"/>
    <x v="3"/>
    <x v="5"/>
    <x v="2"/>
    <x v="2"/>
  </r>
  <r>
    <x v="301"/>
    <x v="8"/>
    <x v="9"/>
    <n v="19.600000000000001"/>
    <x v="11"/>
    <x v="12"/>
    <d v="2025-01-15T00:00:00"/>
    <x v="2"/>
    <x v="0"/>
    <x v="3"/>
    <x v="0"/>
    <x v="3"/>
    <x v="1"/>
    <x v="2"/>
    <x v="2"/>
  </r>
  <r>
    <x v="302"/>
    <x v="8"/>
    <x v="5"/>
    <n v="34.700000000000003"/>
    <x v="288"/>
    <x v="12"/>
    <d v="2025-01-15T00:00:00"/>
    <x v="2"/>
    <x v="0"/>
    <x v="2"/>
    <x v="0"/>
    <x v="3"/>
    <x v="1"/>
    <x v="2"/>
    <x v="2"/>
  </r>
  <r>
    <x v="303"/>
    <x v="10"/>
    <x v="11"/>
    <n v="34.1"/>
    <x v="289"/>
    <x v="12"/>
    <d v="2025-01-14T00:00:00"/>
    <x v="2"/>
    <x v="4"/>
    <x v="1"/>
    <x v="0"/>
    <x v="3"/>
    <x v="3"/>
    <x v="2"/>
    <x v="2"/>
  </r>
  <r>
    <x v="304"/>
    <x v="0"/>
    <x v="26"/>
    <n v="29.3"/>
    <x v="290"/>
    <x v="12"/>
    <d v="2025-01-13T00:00:00"/>
    <x v="1"/>
    <x v="0"/>
    <x v="1"/>
    <x v="0"/>
    <x v="3"/>
    <x v="7"/>
    <x v="2"/>
    <x v="1"/>
  </r>
  <r>
    <x v="305"/>
    <x v="1"/>
    <x v="0"/>
    <n v="55.2"/>
    <x v="291"/>
    <x v="12"/>
    <d v="2025-01-14T00:00:00"/>
    <x v="2"/>
    <x v="0"/>
    <x v="1"/>
    <x v="0"/>
    <x v="3"/>
    <x v="3"/>
    <x v="2"/>
    <x v="2"/>
  </r>
  <r>
    <x v="306"/>
    <x v="18"/>
    <x v="2"/>
    <n v="26"/>
    <x v="292"/>
    <x v="12"/>
    <d v="2025-01-16T00:00:00"/>
    <x v="2"/>
    <x v="0"/>
    <x v="2"/>
    <x v="0"/>
    <x v="3"/>
    <x v="2"/>
    <x v="2"/>
    <x v="2"/>
  </r>
  <r>
    <x v="307"/>
    <x v="14"/>
    <x v="1"/>
    <n v="14.2"/>
    <x v="293"/>
    <x v="12"/>
    <d v="2025-01-18T00:00:00"/>
    <x v="2"/>
    <x v="3"/>
    <x v="0"/>
    <x v="0"/>
    <x v="39"/>
    <x v="0"/>
    <x v="2"/>
    <x v="2"/>
  </r>
  <r>
    <x v="308"/>
    <x v="8"/>
    <x v="11"/>
    <n v="22.7"/>
    <x v="294"/>
    <x v="13"/>
    <d v="2025-01-15T00:00:00"/>
    <x v="1"/>
    <x v="1"/>
    <x v="0"/>
    <x v="0"/>
    <x v="6"/>
    <x v="3"/>
    <x v="2"/>
    <x v="1"/>
  </r>
  <r>
    <x v="309"/>
    <x v="0"/>
    <x v="20"/>
    <n v="19.8"/>
    <x v="295"/>
    <x v="13"/>
    <d v="2025-01-14T00:00:00"/>
    <x v="2"/>
    <x v="0"/>
    <x v="2"/>
    <x v="0"/>
    <x v="6"/>
    <x v="7"/>
    <x v="2"/>
    <x v="2"/>
  </r>
  <r>
    <x v="310"/>
    <x v="0"/>
    <x v="2"/>
    <n v="31.7"/>
    <x v="296"/>
    <x v="13"/>
    <d v="2025-01-15T00:00:00"/>
    <x v="1"/>
    <x v="2"/>
    <x v="0"/>
    <x v="0"/>
    <x v="6"/>
    <x v="3"/>
    <x v="2"/>
    <x v="1"/>
  </r>
  <r>
    <x v="311"/>
    <x v="8"/>
    <x v="12"/>
    <n v="30.4"/>
    <x v="297"/>
    <x v="13"/>
    <d v="2025-01-18T00:00:00"/>
    <x v="1"/>
    <x v="0"/>
    <x v="0"/>
    <x v="0"/>
    <x v="6"/>
    <x v="5"/>
    <x v="2"/>
    <x v="1"/>
  </r>
  <r>
    <x v="312"/>
    <x v="0"/>
    <x v="12"/>
    <n v="25.6"/>
    <x v="298"/>
    <x v="13"/>
    <d v="2025-01-15T00:00:00"/>
    <x v="1"/>
    <x v="3"/>
    <x v="0"/>
    <x v="0"/>
    <x v="8"/>
    <x v="3"/>
    <x v="2"/>
    <x v="1"/>
  </r>
  <r>
    <x v="313"/>
    <x v="5"/>
    <x v="1"/>
    <n v="34.9"/>
    <x v="299"/>
    <x v="13"/>
    <d v="2025-01-15T00:00:00"/>
    <x v="2"/>
    <x v="2"/>
    <x v="0"/>
    <x v="0"/>
    <x v="9"/>
    <x v="3"/>
    <x v="2"/>
    <x v="2"/>
  </r>
  <r>
    <x v="314"/>
    <x v="7"/>
    <x v="13"/>
    <n v="42.7"/>
    <x v="300"/>
    <x v="13"/>
    <d v="2025-01-17T00:00:00"/>
    <x v="1"/>
    <x v="2"/>
    <x v="1"/>
    <x v="0"/>
    <x v="11"/>
    <x v="2"/>
    <x v="2"/>
    <x v="1"/>
  </r>
  <r>
    <x v="315"/>
    <x v="8"/>
    <x v="0"/>
    <n v="23.9"/>
    <x v="301"/>
    <x v="13"/>
    <d v="2025-01-16T00:00:00"/>
    <x v="2"/>
    <x v="3"/>
    <x v="0"/>
    <x v="0"/>
    <x v="11"/>
    <x v="1"/>
    <x v="2"/>
    <x v="2"/>
  </r>
  <r>
    <x v="316"/>
    <x v="6"/>
    <x v="0"/>
    <n v="124.3"/>
    <x v="302"/>
    <x v="13"/>
    <d v="2025-01-15T00:00:00"/>
    <x v="0"/>
    <x v="2"/>
    <x v="1"/>
    <x v="0"/>
    <x v="21"/>
    <x v="3"/>
    <x v="2"/>
    <x v="0"/>
  </r>
  <r>
    <x v="317"/>
    <x v="8"/>
    <x v="13"/>
    <n v="35.9"/>
    <x v="303"/>
    <x v="13"/>
    <d v="2025-01-15T00:00:00"/>
    <x v="2"/>
    <x v="0"/>
    <x v="1"/>
    <x v="0"/>
    <x v="1"/>
    <x v="3"/>
    <x v="2"/>
    <x v="2"/>
  </r>
  <r>
    <x v="318"/>
    <x v="2"/>
    <x v="1"/>
    <n v="69.099999999999994"/>
    <x v="304"/>
    <x v="13"/>
    <d v="2025-01-17T00:00:00"/>
    <x v="2"/>
    <x v="0"/>
    <x v="2"/>
    <x v="0"/>
    <x v="22"/>
    <x v="2"/>
    <x v="2"/>
    <x v="2"/>
  </r>
  <r>
    <x v="319"/>
    <x v="7"/>
    <x v="0"/>
    <n v="58.4"/>
    <x v="305"/>
    <x v="13"/>
    <d v="2025-01-18T00:00:00"/>
    <x v="1"/>
    <x v="0"/>
    <x v="0"/>
    <x v="0"/>
    <x v="22"/>
    <x v="5"/>
    <x v="2"/>
    <x v="1"/>
  </r>
  <r>
    <x v="320"/>
    <x v="5"/>
    <x v="0"/>
    <n v="65.2"/>
    <x v="221"/>
    <x v="13"/>
    <d v="2025-01-16T00:00:00"/>
    <x v="3"/>
    <x v="4"/>
    <x v="4"/>
    <x v="0"/>
    <x v="3"/>
    <x v="1"/>
    <x v="2"/>
    <x v="3"/>
  </r>
  <r>
    <x v="321"/>
    <x v="8"/>
    <x v="14"/>
    <n v="32.700000000000003"/>
    <x v="306"/>
    <x v="13"/>
    <d v="2025-01-21T00:00:00"/>
    <x v="0"/>
    <x v="4"/>
    <x v="0"/>
    <x v="0"/>
    <x v="3"/>
    <x v="6"/>
    <x v="2"/>
    <x v="0"/>
  </r>
  <r>
    <x v="322"/>
    <x v="10"/>
    <x v="3"/>
    <n v="24.4"/>
    <x v="307"/>
    <x v="13"/>
    <d v="2025-01-15T00:00:00"/>
    <x v="2"/>
    <x v="0"/>
    <x v="0"/>
    <x v="0"/>
    <x v="3"/>
    <x v="3"/>
    <x v="2"/>
    <x v="2"/>
  </r>
  <r>
    <x v="323"/>
    <x v="14"/>
    <x v="1"/>
    <n v="50.4"/>
    <x v="90"/>
    <x v="13"/>
    <d v="2025-01-20T00:00:00"/>
    <x v="1"/>
    <x v="0"/>
    <x v="1"/>
    <x v="0"/>
    <x v="3"/>
    <x v="4"/>
    <x v="2"/>
    <x v="1"/>
  </r>
  <r>
    <x v="324"/>
    <x v="1"/>
    <x v="1"/>
    <n v="100"/>
    <x v="308"/>
    <x v="13"/>
    <d v="2025-01-15T00:00:00"/>
    <x v="2"/>
    <x v="0"/>
    <x v="0"/>
    <x v="0"/>
    <x v="3"/>
    <x v="3"/>
    <x v="2"/>
    <x v="2"/>
  </r>
  <r>
    <x v="325"/>
    <x v="10"/>
    <x v="2"/>
    <n v="43"/>
    <x v="309"/>
    <x v="14"/>
    <d v="2025-01-15T00:00:00"/>
    <x v="2"/>
    <x v="2"/>
    <x v="1"/>
    <x v="0"/>
    <x v="3"/>
    <x v="7"/>
    <x v="2"/>
    <x v="2"/>
  </r>
  <r>
    <x v="326"/>
    <x v="1"/>
    <x v="9"/>
    <n v="64.400000000000006"/>
    <x v="310"/>
    <x v="14"/>
    <d v="2025-01-17T00:00:00"/>
    <x v="1"/>
    <x v="2"/>
    <x v="1"/>
    <x v="0"/>
    <x v="3"/>
    <x v="1"/>
    <x v="2"/>
    <x v="1"/>
  </r>
  <r>
    <x v="327"/>
    <x v="18"/>
    <x v="1"/>
    <n v="57.4"/>
    <x v="311"/>
    <x v="14"/>
    <d v="2025-01-16T00:00:00"/>
    <x v="1"/>
    <x v="2"/>
    <x v="1"/>
    <x v="0"/>
    <x v="3"/>
    <x v="3"/>
    <x v="2"/>
    <x v="1"/>
  </r>
  <r>
    <x v="328"/>
    <x v="2"/>
    <x v="2"/>
    <n v="55.1"/>
    <x v="312"/>
    <x v="14"/>
    <d v="2025-01-18T00:00:00"/>
    <x v="2"/>
    <x v="1"/>
    <x v="0"/>
    <x v="0"/>
    <x v="3"/>
    <x v="2"/>
    <x v="2"/>
    <x v="2"/>
  </r>
  <r>
    <x v="329"/>
    <x v="7"/>
    <x v="12"/>
    <n v="45.4"/>
    <x v="106"/>
    <x v="14"/>
    <d v="2025-01-16T00:00:00"/>
    <x v="2"/>
    <x v="1"/>
    <x v="0"/>
    <x v="0"/>
    <x v="3"/>
    <x v="3"/>
    <x v="2"/>
    <x v="2"/>
  </r>
  <r>
    <x v="330"/>
    <x v="3"/>
    <x v="2"/>
    <n v="93.3"/>
    <x v="313"/>
    <x v="14"/>
    <d v="2025-01-16T00:00:00"/>
    <x v="2"/>
    <x v="0"/>
    <x v="0"/>
    <x v="0"/>
    <x v="40"/>
    <x v="3"/>
    <x v="2"/>
    <x v="2"/>
  </r>
  <r>
    <x v="331"/>
    <x v="2"/>
    <x v="10"/>
    <n v="158.19999999999999"/>
    <x v="314"/>
    <x v="14"/>
    <d v="2025-01-16T00:00:00"/>
    <x v="2"/>
    <x v="1"/>
    <x v="2"/>
    <x v="0"/>
    <x v="16"/>
    <x v="3"/>
    <x v="2"/>
    <x v="2"/>
  </r>
  <r>
    <x v="332"/>
    <x v="2"/>
    <x v="1"/>
    <n v="74.900000000000006"/>
    <x v="315"/>
    <x v="14"/>
    <d v="2025-01-17T00:00:00"/>
    <x v="1"/>
    <x v="3"/>
    <x v="0"/>
    <x v="0"/>
    <x v="6"/>
    <x v="1"/>
    <x v="2"/>
    <x v="1"/>
  </r>
  <r>
    <x v="333"/>
    <x v="8"/>
    <x v="3"/>
    <n v="26"/>
    <x v="316"/>
    <x v="14"/>
    <d v="2025-01-18T00:00:00"/>
    <x v="2"/>
    <x v="1"/>
    <x v="0"/>
    <x v="0"/>
    <x v="8"/>
    <x v="2"/>
    <x v="2"/>
    <x v="2"/>
  </r>
  <r>
    <x v="334"/>
    <x v="9"/>
    <x v="13"/>
    <n v="37.5"/>
    <x v="317"/>
    <x v="14"/>
    <d v="2025-01-16T00:00:00"/>
    <x v="2"/>
    <x v="0"/>
    <x v="1"/>
    <x v="0"/>
    <x v="8"/>
    <x v="3"/>
    <x v="2"/>
    <x v="2"/>
  </r>
  <r>
    <x v="335"/>
    <x v="6"/>
    <x v="1"/>
    <n v="75.8"/>
    <x v="318"/>
    <x v="14"/>
    <d v="2025-01-21T00:00:00"/>
    <x v="1"/>
    <x v="0"/>
    <x v="0"/>
    <x v="0"/>
    <x v="8"/>
    <x v="4"/>
    <x v="2"/>
    <x v="1"/>
  </r>
  <r>
    <x v="336"/>
    <x v="7"/>
    <x v="0"/>
    <n v="48.5"/>
    <x v="319"/>
    <x v="14"/>
    <d v="2025-01-27T00:00:00"/>
    <x v="0"/>
    <x v="4"/>
    <x v="2"/>
    <x v="0"/>
    <x v="8"/>
    <x v="13"/>
    <x v="2"/>
    <x v="0"/>
  </r>
  <r>
    <x v="337"/>
    <x v="6"/>
    <x v="2"/>
    <n v="98.9"/>
    <x v="320"/>
    <x v="14"/>
    <d v="2025-01-17T00:00:00"/>
    <x v="2"/>
    <x v="4"/>
    <x v="1"/>
    <x v="0"/>
    <x v="8"/>
    <x v="1"/>
    <x v="2"/>
    <x v="2"/>
  </r>
  <r>
    <x v="338"/>
    <x v="1"/>
    <x v="4"/>
    <n v="50.9"/>
    <x v="321"/>
    <x v="14"/>
    <d v="2025-01-15T00:00:00"/>
    <x v="1"/>
    <x v="4"/>
    <x v="0"/>
    <x v="0"/>
    <x v="8"/>
    <x v="7"/>
    <x v="2"/>
    <x v="1"/>
  </r>
  <r>
    <x v="339"/>
    <x v="12"/>
    <x v="13"/>
    <n v="84.7"/>
    <x v="322"/>
    <x v="14"/>
    <d v="2025-01-15T00:00:00"/>
    <x v="2"/>
    <x v="2"/>
    <x v="0"/>
    <x v="0"/>
    <x v="8"/>
    <x v="7"/>
    <x v="2"/>
    <x v="2"/>
  </r>
  <r>
    <x v="340"/>
    <x v="8"/>
    <x v="0"/>
    <n v="20.7"/>
    <x v="323"/>
    <x v="14"/>
    <d v="2025-01-17T00:00:00"/>
    <x v="2"/>
    <x v="3"/>
    <x v="2"/>
    <x v="0"/>
    <x v="8"/>
    <x v="1"/>
    <x v="2"/>
    <x v="2"/>
  </r>
  <r>
    <x v="341"/>
    <x v="12"/>
    <x v="11"/>
    <n v="57.8"/>
    <x v="324"/>
    <x v="14"/>
    <d v="2025-01-26T00:00:00"/>
    <x v="1"/>
    <x v="0"/>
    <x v="4"/>
    <x v="0"/>
    <x v="17"/>
    <x v="11"/>
    <x v="2"/>
    <x v="1"/>
  </r>
  <r>
    <x v="342"/>
    <x v="2"/>
    <x v="1"/>
    <n v="106.9"/>
    <x v="325"/>
    <x v="14"/>
    <d v="2025-01-17T00:00:00"/>
    <x v="2"/>
    <x v="0"/>
    <x v="2"/>
    <x v="0"/>
    <x v="41"/>
    <x v="1"/>
    <x v="2"/>
    <x v="2"/>
  </r>
  <r>
    <x v="343"/>
    <x v="3"/>
    <x v="9"/>
    <n v="45.2"/>
    <x v="326"/>
    <x v="14"/>
    <d v="2025-01-19T00:00:00"/>
    <x v="2"/>
    <x v="1"/>
    <x v="0"/>
    <x v="0"/>
    <x v="21"/>
    <x v="5"/>
    <x v="2"/>
    <x v="2"/>
  </r>
  <r>
    <x v="344"/>
    <x v="8"/>
    <x v="15"/>
    <n v="34.6"/>
    <x v="327"/>
    <x v="14"/>
    <d v="2025-01-15T00:00:00"/>
    <x v="2"/>
    <x v="1"/>
    <x v="1"/>
    <x v="0"/>
    <x v="21"/>
    <x v="7"/>
    <x v="2"/>
    <x v="2"/>
  </r>
  <r>
    <x v="345"/>
    <x v="15"/>
    <x v="0"/>
    <n v="43.8"/>
    <x v="328"/>
    <x v="14"/>
    <d v="2025-01-17T00:00:00"/>
    <x v="0"/>
    <x v="0"/>
    <x v="2"/>
    <x v="0"/>
    <x v="21"/>
    <x v="1"/>
    <x v="2"/>
    <x v="0"/>
  </r>
  <r>
    <x v="346"/>
    <x v="15"/>
    <x v="0"/>
    <n v="20.399999999999999"/>
    <x v="190"/>
    <x v="14"/>
    <d v="2025-01-17T00:00:00"/>
    <x v="1"/>
    <x v="4"/>
    <x v="1"/>
    <x v="0"/>
    <x v="21"/>
    <x v="1"/>
    <x v="2"/>
    <x v="1"/>
  </r>
  <r>
    <x v="347"/>
    <x v="1"/>
    <x v="0"/>
    <n v="36.700000000000003"/>
    <x v="329"/>
    <x v="14"/>
    <d v="2025-01-16T00:00:00"/>
    <x v="1"/>
    <x v="0"/>
    <x v="1"/>
    <x v="0"/>
    <x v="1"/>
    <x v="3"/>
    <x v="2"/>
    <x v="1"/>
  </r>
  <r>
    <x v="348"/>
    <x v="8"/>
    <x v="2"/>
    <n v="27.2"/>
    <x v="330"/>
    <x v="14"/>
    <d v="2025-01-19T00:00:00"/>
    <x v="1"/>
    <x v="0"/>
    <x v="2"/>
    <x v="0"/>
    <x v="1"/>
    <x v="5"/>
    <x v="2"/>
    <x v="1"/>
  </r>
  <r>
    <x v="349"/>
    <x v="6"/>
    <x v="0"/>
    <n v="58.2"/>
    <x v="331"/>
    <x v="14"/>
    <d v="2025-01-16T00:00:00"/>
    <x v="2"/>
    <x v="0"/>
    <x v="2"/>
    <x v="0"/>
    <x v="42"/>
    <x v="3"/>
    <x v="2"/>
    <x v="2"/>
  </r>
  <r>
    <x v="350"/>
    <x v="8"/>
    <x v="2"/>
    <n v="25.6"/>
    <x v="332"/>
    <x v="14"/>
    <d v="2025-01-16T00:00:00"/>
    <x v="1"/>
    <x v="4"/>
    <x v="4"/>
    <x v="0"/>
    <x v="2"/>
    <x v="3"/>
    <x v="2"/>
    <x v="1"/>
  </r>
  <r>
    <x v="351"/>
    <x v="10"/>
    <x v="0"/>
    <n v="21.2"/>
    <x v="333"/>
    <x v="14"/>
    <d v="2025-01-15T00:00:00"/>
    <x v="2"/>
    <x v="1"/>
    <x v="2"/>
    <x v="0"/>
    <x v="3"/>
    <x v="7"/>
    <x v="2"/>
    <x v="2"/>
  </r>
  <r>
    <x v="352"/>
    <x v="6"/>
    <x v="1"/>
    <n v="48.2"/>
    <x v="334"/>
    <x v="14"/>
    <d v="2025-01-23T00:00:00"/>
    <x v="2"/>
    <x v="0"/>
    <x v="2"/>
    <x v="0"/>
    <x v="3"/>
    <x v="9"/>
    <x v="2"/>
    <x v="2"/>
  </r>
  <r>
    <x v="353"/>
    <x v="1"/>
    <x v="12"/>
    <n v="83.4"/>
    <x v="335"/>
    <x v="15"/>
    <d v="2025-01-17T00:00:00"/>
    <x v="1"/>
    <x v="0"/>
    <x v="0"/>
    <x v="0"/>
    <x v="3"/>
    <x v="3"/>
    <x v="2"/>
    <x v="1"/>
  </r>
  <r>
    <x v="354"/>
    <x v="9"/>
    <x v="2"/>
    <n v="45.3"/>
    <x v="336"/>
    <x v="15"/>
    <d v="2025-01-22T00:00:00"/>
    <x v="1"/>
    <x v="2"/>
    <x v="1"/>
    <x v="0"/>
    <x v="3"/>
    <x v="4"/>
    <x v="2"/>
    <x v="1"/>
  </r>
  <r>
    <x v="355"/>
    <x v="17"/>
    <x v="0"/>
    <n v="42"/>
    <x v="337"/>
    <x v="15"/>
    <d v="2025-01-17T00:00:00"/>
    <x v="0"/>
    <x v="0"/>
    <x v="0"/>
    <x v="0"/>
    <x v="3"/>
    <x v="3"/>
    <x v="2"/>
    <x v="0"/>
  </r>
  <r>
    <x v="356"/>
    <x v="0"/>
    <x v="11"/>
    <n v="21.8"/>
    <x v="338"/>
    <x v="15"/>
    <d v="2025-01-18T00:00:00"/>
    <x v="2"/>
    <x v="1"/>
    <x v="0"/>
    <x v="0"/>
    <x v="3"/>
    <x v="1"/>
    <x v="2"/>
    <x v="2"/>
  </r>
  <r>
    <x v="357"/>
    <x v="8"/>
    <x v="16"/>
    <n v="21.4"/>
    <x v="339"/>
    <x v="15"/>
    <d v="2025-01-19T00:00:00"/>
    <x v="2"/>
    <x v="1"/>
    <x v="2"/>
    <x v="0"/>
    <x v="3"/>
    <x v="2"/>
    <x v="2"/>
    <x v="2"/>
  </r>
  <r>
    <x v="358"/>
    <x v="10"/>
    <x v="2"/>
    <n v="45"/>
    <x v="340"/>
    <x v="15"/>
    <d v="2025-01-16T00:00:00"/>
    <x v="2"/>
    <x v="1"/>
    <x v="2"/>
    <x v="0"/>
    <x v="3"/>
    <x v="7"/>
    <x v="2"/>
    <x v="2"/>
  </r>
  <r>
    <x v="359"/>
    <x v="14"/>
    <x v="0"/>
    <n v="39.6"/>
    <x v="341"/>
    <x v="15"/>
    <d v="2025-01-17T00:00:00"/>
    <x v="1"/>
    <x v="0"/>
    <x v="2"/>
    <x v="0"/>
    <x v="3"/>
    <x v="3"/>
    <x v="2"/>
    <x v="1"/>
  </r>
  <r>
    <x v="360"/>
    <x v="12"/>
    <x v="2"/>
    <n v="79.8"/>
    <x v="342"/>
    <x v="15"/>
    <d v="2025-01-22T00:00:00"/>
    <x v="2"/>
    <x v="1"/>
    <x v="4"/>
    <x v="0"/>
    <x v="3"/>
    <x v="4"/>
    <x v="2"/>
    <x v="2"/>
  </r>
  <r>
    <x v="361"/>
    <x v="1"/>
    <x v="12"/>
    <n v="63.6"/>
    <x v="343"/>
    <x v="15"/>
    <d v="2025-01-17T00:00:00"/>
    <x v="3"/>
    <x v="0"/>
    <x v="2"/>
    <x v="0"/>
    <x v="24"/>
    <x v="3"/>
    <x v="2"/>
    <x v="3"/>
  </r>
  <r>
    <x v="362"/>
    <x v="7"/>
    <x v="7"/>
    <n v="92.7"/>
    <x v="344"/>
    <x v="15"/>
    <d v="2025-01-20T00:00:00"/>
    <x v="1"/>
    <x v="1"/>
    <x v="2"/>
    <x v="0"/>
    <x v="6"/>
    <x v="5"/>
    <x v="2"/>
    <x v="1"/>
  </r>
  <r>
    <x v="363"/>
    <x v="1"/>
    <x v="12"/>
    <n v="48.4"/>
    <x v="345"/>
    <x v="15"/>
    <d v="2025-01-18T00:00:00"/>
    <x v="2"/>
    <x v="1"/>
    <x v="2"/>
    <x v="0"/>
    <x v="6"/>
    <x v="1"/>
    <x v="2"/>
    <x v="2"/>
  </r>
  <r>
    <x v="364"/>
    <x v="9"/>
    <x v="8"/>
    <n v="36"/>
    <x v="346"/>
    <x v="15"/>
    <d v="2025-01-19T00:00:00"/>
    <x v="1"/>
    <x v="2"/>
    <x v="2"/>
    <x v="0"/>
    <x v="8"/>
    <x v="2"/>
    <x v="2"/>
    <x v="1"/>
  </r>
  <r>
    <x v="365"/>
    <x v="8"/>
    <x v="4"/>
    <n v="27"/>
    <x v="347"/>
    <x v="15"/>
    <d v="2025-01-18T00:00:00"/>
    <x v="2"/>
    <x v="2"/>
    <x v="1"/>
    <x v="0"/>
    <x v="8"/>
    <x v="1"/>
    <x v="2"/>
    <x v="2"/>
  </r>
  <r>
    <x v="366"/>
    <x v="2"/>
    <x v="8"/>
    <n v="53.9"/>
    <x v="348"/>
    <x v="15"/>
    <d v="2025-01-17T00:00:00"/>
    <x v="0"/>
    <x v="0"/>
    <x v="0"/>
    <x v="0"/>
    <x v="8"/>
    <x v="3"/>
    <x v="2"/>
    <x v="0"/>
  </r>
  <r>
    <x v="367"/>
    <x v="3"/>
    <x v="11"/>
    <n v="48.4"/>
    <x v="349"/>
    <x v="15"/>
    <d v="2025-01-17T00:00:00"/>
    <x v="2"/>
    <x v="1"/>
    <x v="0"/>
    <x v="0"/>
    <x v="9"/>
    <x v="3"/>
    <x v="2"/>
    <x v="2"/>
  </r>
  <r>
    <x v="368"/>
    <x v="17"/>
    <x v="1"/>
    <n v="49.9"/>
    <x v="350"/>
    <x v="15"/>
    <d v="2025-01-21T00:00:00"/>
    <x v="1"/>
    <x v="4"/>
    <x v="4"/>
    <x v="0"/>
    <x v="10"/>
    <x v="0"/>
    <x v="2"/>
    <x v="1"/>
  </r>
  <r>
    <x v="369"/>
    <x v="1"/>
    <x v="2"/>
    <n v="51.7"/>
    <x v="351"/>
    <x v="15"/>
    <d v="2025-01-17T00:00:00"/>
    <x v="2"/>
    <x v="0"/>
    <x v="2"/>
    <x v="0"/>
    <x v="11"/>
    <x v="3"/>
    <x v="2"/>
    <x v="2"/>
  </r>
  <r>
    <x v="370"/>
    <x v="8"/>
    <x v="2"/>
    <n v="41.8"/>
    <x v="352"/>
    <x v="15"/>
    <d v="2025-01-18T00:00:00"/>
    <x v="2"/>
    <x v="2"/>
    <x v="0"/>
    <x v="0"/>
    <x v="18"/>
    <x v="1"/>
    <x v="2"/>
    <x v="2"/>
  </r>
  <r>
    <x v="371"/>
    <x v="4"/>
    <x v="12"/>
    <n v="36.200000000000003"/>
    <x v="353"/>
    <x v="16"/>
    <d v="2025-01-18T00:00:00"/>
    <x v="1"/>
    <x v="2"/>
    <x v="2"/>
    <x v="0"/>
    <x v="21"/>
    <x v="3"/>
    <x v="2"/>
    <x v="1"/>
  </r>
  <r>
    <x v="372"/>
    <x v="2"/>
    <x v="0"/>
    <n v="150.9"/>
    <x v="354"/>
    <x v="16"/>
    <d v="2025-01-27T00:00:00"/>
    <x v="1"/>
    <x v="0"/>
    <x v="0"/>
    <x v="0"/>
    <x v="1"/>
    <x v="14"/>
    <x v="2"/>
    <x v="1"/>
  </r>
  <r>
    <x v="373"/>
    <x v="18"/>
    <x v="12"/>
    <n v="77.599999999999994"/>
    <x v="355"/>
    <x v="16"/>
    <d v="2025-01-18T00:00:00"/>
    <x v="0"/>
    <x v="2"/>
    <x v="0"/>
    <x v="0"/>
    <x v="3"/>
    <x v="3"/>
    <x v="2"/>
    <x v="0"/>
  </r>
  <r>
    <x v="374"/>
    <x v="13"/>
    <x v="9"/>
    <n v="65.5"/>
    <x v="356"/>
    <x v="16"/>
    <d v="2025-01-17T00:00:00"/>
    <x v="1"/>
    <x v="1"/>
    <x v="0"/>
    <x v="0"/>
    <x v="3"/>
    <x v="7"/>
    <x v="2"/>
    <x v="1"/>
  </r>
  <r>
    <x v="375"/>
    <x v="6"/>
    <x v="2"/>
    <n v="90.1"/>
    <x v="357"/>
    <x v="16"/>
    <d v="2025-01-19T00:00:00"/>
    <x v="2"/>
    <x v="0"/>
    <x v="0"/>
    <x v="0"/>
    <x v="3"/>
    <x v="1"/>
    <x v="2"/>
    <x v="2"/>
  </r>
  <r>
    <x v="376"/>
    <x v="1"/>
    <x v="1"/>
    <n v="108.3"/>
    <x v="358"/>
    <x v="16"/>
    <d v="2025-01-20T00:00:00"/>
    <x v="3"/>
    <x v="4"/>
    <x v="0"/>
    <x v="0"/>
    <x v="3"/>
    <x v="2"/>
    <x v="2"/>
    <x v="3"/>
  </r>
  <r>
    <x v="377"/>
    <x v="5"/>
    <x v="2"/>
    <n v="59.9"/>
    <x v="359"/>
    <x v="16"/>
    <d v="2025-01-21T00:00:00"/>
    <x v="2"/>
    <x v="0"/>
    <x v="0"/>
    <x v="0"/>
    <x v="3"/>
    <x v="5"/>
    <x v="2"/>
    <x v="2"/>
  </r>
  <r>
    <x v="378"/>
    <x v="2"/>
    <x v="14"/>
    <n v="139"/>
    <x v="360"/>
    <x v="16"/>
    <d v="2025-01-19T00:00:00"/>
    <x v="2"/>
    <x v="1"/>
    <x v="4"/>
    <x v="0"/>
    <x v="3"/>
    <x v="1"/>
    <x v="2"/>
    <x v="2"/>
  </r>
  <r>
    <x v="379"/>
    <x v="6"/>
    <x v="2"/>
    <n v="87.3"/>
    <x v="361"/>
    <x v="16"/>
    <d v="2025-01-18T00:00:00"/>
    <x v="2"/>
    <x v="0"/>
    <x v="0"/>
    <x v="0"/>
    <x v="3"/>
    <x v="3"/>
    <x v="2"/>
    <x v="2"/>
  </r>
  <r>
    <x v="380"/>
    <x v="11"/>
    <x v="12"/>
    <n v="42.3"/>
    <x v="362"/>
    <x v="16"/>
    <d v="2025-01-17T00:00:00"/>
    <x v="1"/>
    <x v="0"/>
    <x v="0"/>
    <x v="0"/>
    <x v="3"/>
    <x v="7"/>
    <x v="2"/>
    <x v="1"/>
  </r>
  <r>
    <x v="381"/>
    <x v="14"/>
    <x v="8"/>
    <n v="103.6"/>
    <x v="363"/>
    <x v="16"/>
    <d v="2025-01-18T00:00:00"/>
    <x v="3"/>
    <x v="0"/>
    <x v="1"/>
    <x v="0"/>
    <x v="3"/>
    <x v="3"/>
    <x v="2"/>
    <x v="3"/>
  </r>
  <r>
    <x v="382"/>
    <x v="6"/>
    <x v="1"/>
    <n v="90.9"/>
    <x v="364"/>
    <x v="16"/>
    <d v="2025-01-18T00:00:00"/>
    <x v="1"/>
    <x v="1"/>
    <x v="0"/>
    <x v="0"/>
    <x v="6"/>
    <x v="3"/>
    <x v="2"/>
    <x v="1"/>
  </r>
  <r>
    <x v="383"/>
    <x v="9"/>
    <x v="27"/>
    <n v="100.9"/>
    <x v="365"/>
    <x v="16"/>
    <d v="2025-01-18T00:00:00"/>
    <x v="2"/>
    <x v="1"/>
    <x v="0"/>
    <x v="0"/>
    <x v="6"/>
    <x v="3"/>
    <x v="2"/>
    <x v="2"/>
  </r>
  <r>
    <x v="384"/>
    <x v="4"/>
    <x v="9"/>
    <n v="36"/>
    <x v="366"/>
    <x v="16"/>
    <d v="2025-01-19T00:00:00"/>
    <x v="2"/>
    <x v="1"/>
    <x v="0"/>
    <x v="0"/>
    <x v="7"/>
    <x v="1"/>
    <x v="2"/>
    <x v="2"/>
  </r>
  <r>
    <x v="385"/>
    <x v="6"/>
    <x v="13"/>
    <n v="83.3"/>
    <x v="367"/>
    <x v="16"/>
    <d v="2025-01-20T00:00:00"/>
    <x v="0"/>
    <x v="2"/>
    <x v="0"/>
    <x v="0"/>
    <x v="7"/>
    <x v="2"/>
    <x v="2"/>
    <x v="0"/>
  </r>
  <r>
    <x v="386"/>
    <x v="2"/>
    <x v="14"/>
    <n v="60.3"/>
    <x v="368"/>
    <x v="16"/>
    <d v="2025-01-18T00:00:00"/>
    <x v="1"/>
    <x v="2"/>
    <x v="1"/>
    <x v="0"/>
    <x v="7"/>
    <x v="3"/>
    <x v="2"/>
    <x v="1"/>
  </r>
  <r>
    <x v="387"/>
    <x v="2"/>
    <x v="13"/>
    <n v="120.3"/>
    <x v="369"/>
    <x v="16"/>
    <d v="2025-01-18T00:00:00"/>
    <x v="1"/>
    <x v="2"/>
    <x v="0"/>
    <x v="0"/>
    <x v="8"/>
    <x v="3"/>
    <x v="2"/>
    <x v="1"/>
  </r>
  <r>
    <x v="388"/>
    <x v="4"/>
    <x v="7"/>
    <n v="34"/>
    <x v="370"/>
    <x v="16"/>
    <d v="2025-01-21T00:00:00"/>
    <x v="2"/>
    <x v="2"/>
    <x v="0"/>
    <x v="0"/>
    <x v="8"/>
    <x v="5"/>
    <x v="2"/>
    <x v="2"/>
  </r>
  <r>
    <x v="389"/>
    <x v="10"/>
    <x v="9"/>
    <n v="42.6"/>
    <x v="226"/>
    <x v="16"/>
    <d v="2025-01-20T00:00:00"/>
    <x v="1"/>
    <x v="1"/>
    <x v="0"/>
    <x v="0"/>
    <x v="8"/>
    <x v="2"/>
    <x v="2"/>
    <x v="1"/>
  </r>
  <r>
    <x v="390"/>
    <x v="5"/>
    <x v="28"/>
    <n v="47.4"/>
    <x v="371"/>
    <x v="16"/>
    <d v="2025-01-17T00:00:00"/>
    <x v="2"/>
    <x v="2"/>
    <x v="1"/>
    <x v="0"/>
    <x v="17"/>
    <x v="7"/>
    <x v="2"/>
    <x v="2"/>
  </r>
  <r>
    <x v="391"/>
    <x v="2"/>
    <x v="0"/>
    <n v="74"/>
    <x v="372"/>
    <x v="17"/>
    <d v="2025-01-19T00:00:00"/>
    <x v="1"/>
    <x v="1"/>
    <x v="0"/>
    <x v="0"/>
    <x v="11"/>
    <x v="3"/>
    <x v="2"/>
    <x v="1"/>
  </r>
  <r>
    <x v="392"/>
    <x v="2"/>
    <x v="9"/>
    <n v="60.4"/>
    <x v="373"/>
    <x v="17"/>
    <d v="2025-01-21T00:00:00"/>
    <x v="2"/>
    <x v="1"/>
    <x v="4"/>
    <x v="0"/>
    <x v="18"/>
    <x v="2"/>
    <x v="2"/>
    <x v="2"/>
  </r>
  <r>
    <x v="393"/>
    <x v="12"/>
    <x v="1"/>
    <n v="69.3"/>
    <x v="374"/>
    <x v="17"/>
    <d v="2025-01-21T00:00:00"/>
    <x v="1"/>
    <x v="1"/>
    <x v="1"/>
    <x v="0"/>
    <x v="13"/>
    <x v="2"/>
    <x v="2"/>
    <x v="1"/>
  </r>
  <r>
    <x v="394"/>
    <x v="5"/>
    <x v="9"/>
    <n v="81"/>
    <x v="375"/>
    <x v="17"/>
    <d v="2025-01-24T00:00:00"/>
    <x v="1"/>
    <x v="3"/>
    <x v="0"/>
    <x v="0"/>
    <x v="21"/>
    <x v="4"/>
    <x v="2"/>
    <x v="1"/>
  </r>
  <r>
    <x v="395"/>
    <x v="15"/>
    <x v="2"/>
    <n v="41.5"/>
    <x v="376"/>
    <x v="17"/>
    <d v="2025-01-20T00:00:00"/>
    <x v="3"/>
    <x v="1"/>
    <x v="0"/>
    <x v="0"/>
    <x v="21"/>
    <x v="1"/>
    <x v="2"/>
    <x v="3"/>
  </r>
  <r>
    <x v="396"/>
    <x v="18"/>
    <x v="1"/>
    <n v="69.7"/>
    <x v="377"/>
    <x v="17"/>
    <d v="2025-01-23T00:00:00"/>
    <x v="1"/>
    <x v="1"/>
    <x v="0"/>
    <x v="0"/>
    <x v="21"/>
    <x v="0"/>
    <x v="2"/>
    <x v="1"/>
  </r>
  <r>
    <x v="397"/>
    <x v="2"/>
    <x v="9"/>
    <n v="83.6"/>
    <x v="378"/>
    <x v="17"/>
    <d v="2025-01-18T00:00:00"/>
    <x v="2"/>
    <x v="4"/>
    <x v="0"/>
    <x v="0"/>
    <x v="1"/>
    <x v="7"/>
    <x v="2"/>
    <x v="2"/>
  </r>
  <r>
    <x v="398"/>
    <x v="8"/>
    <x v="3"/>
    <n v="21.5"/>
    <x v="379"/>
    <x v="17"/>
    <d v="2025-01-20T00:00:00"/>
    <x v="1"/>
    <x v="1"/>
    <x v="4"/>
    <x v="0"/>
    <x v="34"/>
    <x v="1"/>
    <x v="2"/>
    <x v="1"/>
  </r>
  <r>
    <x v="399"/>
    <x v="8"/>
    <x v="8"/>
    <n v="28.6"/>
    <x v="27"/>
    <x v="17"/>
    <d v="2025-01-19T00:00:00"/>
    <x v="1"/>
    <x v="0"/>
    <x v="0"/>
    <x v="0"/>
    <x v="3"/>
    <x v="3"/>
    <x v="2"/>
    <x v="1"/>
  </r>
  <r>
    <x v="400"/>
    <x v="8"/>
    <x v="13"/>
    <n v="18.8"/>
    <x v="380"/>
    <x v="17"/>
    <d v="2025-01-21T00:00:00"/>
    <x v="1"/>
    <x v="3"/>
    <x v="2"/>
    <x v="0"/>
    <x v="3"/>
    <x v="2"/>
    <x v="2"/>
    <x v="1"/>
  </r>
  <r>
    <x v="401"/>
    <x v="10"/>
    <x v="12"/>
    <n v="35.1"/>
    <x v="381"/>
    <x v="17"/>
    <d v="2025-01-18T00:00:00"/>
    <x v="2"/>
    <x v="1"/>
    <x v="1"/>
    <x v="0"/>
    <x v="3"/>
    <x v="7"/>
    <x v="2"/>
    <x v="2"/>
  </r>
  <r>
    <x v="402"/>
    <x v="0"/>
    <x v="1"/>
    <n v="12.7"/>
    <x v="382"/>
    <x v="17"/>
    <d v="2025-01-20T00:00:00"/>
    <x v="2"/>
    <x v="1"/>
    <x v="2"/>
    <x v="0"/>
    <x v="3"/>
    <x v="1"/>
    <x v="2"/>
    <x v="2"/>
  </r>
  <r>
    <x v="403"/>
    <x v="8"/>
    <x v="9"/>
    <n v="27.4"/>
    <x v="383"/>
    <x v="17"/>
    <d v="2025-01-20T00:00:00"/>
    <x v="3"/>
    <x v="0"/>
    <x v="0"/>
    <x v="0"/>
    <x v="3"/>
    <x v="1"/>
    <x v="2"/>
    <x v="3"/>
  </r>
  <r>
    <x v="404"/>
    <x v="10"/>
    <x v="1"/>
    <n v="61.3"/>
    <x v="384"/>
    <x v="17"/>
    <d v="2025-01-19T00:00:00"/>
    <x v="2"/>
    <x v="1"/>
    <x v="0"/>
    <x v="0"/>
    <x v="6"/>
    <x v="3"/>
    <x v="2"/>
    <x v="2"/>
  </r>
  <r>
    <x v="405"/>
    <x v="8"/>
    <x v="1"/>
    <n v="64.7"/>
    <x v="385"/>
    <x v="17"/>
    <d v="2025-01-20T00:00:00"/>
    <x v="2"/>
    <x v="3"/>
    <x v="2"/>
    <x v="0"/>
    <x v="6"/>
    <x v="1"/>
    <x v="2"/>
    <x v="2"/>
  </r>
  <r>
    <x v="406"/>
    <x v="7"/>
    <x v="12"/>
    <n v="91.4"/>
    <x v="386"/>
    <x v="17"/>
    <d v="2025-01-20T00:00:00"/>
    <x v="2"/>
    <x v="0"/>
    <x v="0"/>
    <x v="0"/>
    <x v="8"/>
    <x v="1"/>
    <x v="2"/>
    <x v="2"/>
  </r>
  <r>
    <x v="407"/>
    <x v="0"/>
    <x v="1"/>
    <n v="33.1"/>
    <x v="387"/>
    <x v="18"/>
    <d v="2025-01-20T00:00:00"/>
    <x v="1"/>
    <x v="0"/>
    <x v="2"/>
    <x v="0"/>
    <x v="8"/>
    <x v="3"/>
    <x v="3"/>
    <x v="1"/>
  </r>
  <r>
    <x v="408"/>
    <x v="3"/>
    <x v="1"/>
    <n v="105.6"/>
    <x v="23"/>
    <x v="18"/>
    <d v="2025-01-20T00:00:00"/>
    <x v="1"/>
    <x v="2"/>
    <x v="1"/>
    <x v="0"/>
    <x v="8"/>
    <x v="3"/>
    <x v="3"/>
    <x v="1"/>
  </r>
  <r>
    <x v="409"/>
    <x v="10"/>
    <x v="2"/>
    <n v="46.4"/>
    <x v="388"/>
    <x v="18"/>
    <d v="2025-01-20T00:00:00"/>
    <x v="1"/>
    <x v="2"/>
    <x v="0"/>
    <x v="0"/>
    <x v="9"/>
    <x v="3"/>
    <x v="3"/>
    <x v="1"/>
  </r>
  <r>
    <x v="410"/>
    <x v="9"/>
    <x v="21"/>
    <n v="35.299999999999997"/>
    <x v="389"/>
    <x v="18"/>
    <d v="2025-01-22T00:00:00"/>
    <x v="2"/>
    <x v="4"/>
    <x v="1"/>
    <x v="0"/>
    <x v="11"/>
    <x v="2"/>
    <x v="3"/>
    <x v="2"/>
  </r>
  <r>
    <x v="411"/>
    <x v="0"/>
    <x v="1"/>
    <n v="16.100000000000001"/>
    <x v="390"/>
    <x v="18"/>
    <d v="2025-01-21T00:00:00"/>
    <x v="1"/>
    <x v="3"/>
    <x v="2"/>
    <x v="0"/>
    <x v="32"/>
    <x v="1"/>
    <x v="3"/>
    <x v="1"/>
  </r>
  <r>
    <x v="412"/>
    <x v="4"/>
    <x v="1"/>
    <n v="27.9"/>
    <x v="391"/>
    <x v="18"/>
    <d v="2025-01-22T00:00:00"/>
    <x v="1"/>
    <x v="0"/>
    <x v="0"/>
    <x v="0"/>
    <x v="13"/>
    <x v="2"/>
    <x v="3"/>
    <x v="1"/>
  </r>
  <r>
    <x v="413"/>
    <x v="8"/>
    <x v="0"/>
    <n v="47.1"/>
    <x v="392"/>
    <x v="18"/>
    <d v="2025-01-27T00:00:00"/>
    <x v="2"/>
    <x v="1"/>
    <x v="0"/>
    <x v="0"/>
    <x v="2"/>
    <x v="9"/>
    <x v="3"/>
    <x v="2"/>
  </r>
  <r>
    <x v="414"/>
    <x v="6"/>
    <x v="1"/>
    <n v="85"/>
    <x v="393"/>
    <x v="18"/>
    <d v="2025-01-22T00:00:00"/>
    <x v="0"/>
    <x v="2"/>
    <x v="2"/>
    <x v="0"/>
    <x v="22"/>
    <x v="2"/>
    <x v="3"/>
    <x v="0"/>
  </r>
  <r>
    <x v="415"/>
    <x v="18"/>
    <x v="1"/>
    <n v="89"/>
    <x v="394"/>
    <x v="18"/>
    <d v="2025-01-21T00:00:00"/>
    <x v="2"/>
    <x v="0"/>
    <x v="0"/>
    <x v="0"/>
    <x v="3"/>
    <x v="1"/>
    <x v="3"/>
    <x v="2"/>
  </r>
  <r>
    <x v="416"/>
    <x v="16"/>
    <x v="2"/>
    <n v="36.6"/>
    <x v="17"/>
    <x v="18"/>
    <d v="2025-01-20T00:00:00"/>
    <x v="3"/>
    <x v="3"/>
    <x v="2"/>
    <x v="0"/>
    <x v="3"/>
    <x v="3"/>
    <x v="3"/>
    <x v="3"/>
  </r>
  <r>
    <x v="417"/>
    <x v="6"/>
    <x v="3"/>
    <n v="43.5"/>
    <x v="395"/>
    <x v="18"/>
    <d v="2025-01-20T00:00:00"/>
    <x v="1"/>
    <x v="1"/>
    <x v="2"/>
    <x v="0"/>
    <x v="3"/>
    <x v="3"/>
    <x v="3"/>
    <x v="1"/>
  </r>
  <r>
    <x v="418"/>
    <x v="9"/>
    <x v="10"/>
    <n v="30.5"/>
    <x v="396"/>
    <x v="18"/>
    <d v="2025-01-19T00:00:00"/>
    <x v="2"/>
    <x v="3"/>
    <x v="0"/>
    <x v="0"/>
    <x v="3"/>
    <x v="7"/>
    <x v="3"/>
    <x v="2"/>
  </r>
  <r>
    <x v="419"/>
    <x v="1"/>
    <x v="1"/>
    <n v="107.7"/>
    <x v="397"/>
    <x v="18"/>
    <d v="2025-01-23T00:00:00"/>
    <x v="1"/>
    <x v="3"/>
    <x v="4"/>
    <x v="0"/>
    <x v="3"/>
    <x v="5"/>
    <x v="3"/>
    <x v="1"/>
  </r>
  <r>
    <x v="420"/>
    <x v="17"/>
    <x v="18"/>
    <n v="57.1"/>
    <x v="398"/>
    <x v="18"/>
    <d v="2025-01-20T00:00:00"/>
    <x v="1"/>
    <x v="1"/>
    <x v="0"/>
    <x v="0"/>
    <x v="3"/>
    <x v="3"/>
    <x v="3"/>
    <x v="1"/>
  </r>
  <r>
    <x v="421"/>
    <x v="2"/>
    <x v="7"/>
    <n v="111.7"/>
    <x v="399"/>
    <x v="18"/>
    <d v="2025-01-20T00:00:00"/>
    <x v="2"/>
    <x v="4"/>
    <x v="2"/>
    <x v="0"/>
    <x v="3"/>
    <x v="3"/>
    <x v="3"/>
    <x v="2"/>
  </r>
  <r>
    <x v="422"/>
    <x v="18"/>
    <x v="3"/>
    <n v="44.3"/>
    <x v="400"/>
    <x v="18"/>
    <d v="2025-01-22T00:00:00"/>
    <x v="1"/>
    <x v="3"/>
    <x v="2"/>
    <x v="0"/>
    <x v="3"/>
    <x v="2"/>
    <x v="3"/>
    <x v="1"/>
  </r>
  <r>
    <x v="423"/>
    <x v="2"/>
    <x v="8"/>
    <n v="95.8"/>
    <x v="401"/>
    <x v="18"/>
    <d v="2025-01-25T00:00:00"/>
    <x v="3"/>
    <x v="0"/>
    <x v="0"/>
    <x v="0"/>
    <x v="3"/>
    <x v="4"/>
    <x v="3"/>
    <x v="3"/>
  </r>
  <r>
    <x v="424"/>
    <x v="10"/>
    <x v="3"/>
    <n v="22.6"/>
    <x v="402"/>
    <x v="18"/>
    <d v="2025-01-22T00:00:00"/>
    <x v="2"/>
    <x v="3"/>
    <x v="1"/>
    <x v="0"/>
    <x v="3"/>
    <x v="2"/>
    <x v="3"/>
    <x v="2"/>
  </r>
  <r>
    <x v="425"/>
    <x v="8"/>
    <x v="8"/>
    <n v="25.6"/>
    <x v="403"/>
    <x v="18"/>
    <d v="2025-01-21T00:00:00"/>
    <x v="2"/>
    <x v="4"/>
    <x v="0"/>
    <x v="0"/>
    <x v="3"/>
    <x v="1"/>
    <x v="3"/>
    <x v="2"/>
  </r>
  <r>
    <x v="426"/>
    <x v="6"/>
    <x v="27"/>
    <n v="54.3"/>
    <x v="404"/>
    <x v="18"/>
    <d v="2025-01-22T00:00:00"/>
    <x v="2"/>
    <x v="4"/>
    <x v="0"/>
    <x v="0"/>
    <x v="3"/>
    <x v="2"/>
    <x v="3"/>
    <x v="2"/>
  </r>
  <r>
    <x v="427"/>
    <x v="18"/>
    <x v="15"/>
    <n v="51.3"/>
    <x v="405"/>
    <x v="18"/>
    <d v="2025-01-21T00:00:00"/>
    <x v="1"/>
    <x v="0"/>
    <x v="2"/>
    <x v="0"/>
    <x v="3"/>
    <x v="1"/>
    <x v="3"/>
    <x v="1"/>
  </r>
  <r>
    <x v="428"/>
    <x v="0"/>
    <x v="8"/>
    <n v="25.6"/>
    <x v="403"/>
    <x v="18"/>
    <d v="2025-01-20T00:00:00"/>
    <x v="2"/>
    <x v="1"/>
    <x v="1"/>
    <x v="0"/>
    <x v="3"/>
    <x v="3"/>
    <x v="3"/>
    <x v="2"/>
  </r>
  <r>
    <x v="429"/>
    <x v="0"/>
    <x v="1"/>
    <n v="15.6"/>
    <x v="406"/>
    <x v="18"/>
    <d v="2025-01-20T00:00:00"/>
    <x v="2"/>
    <x v="2"/>
    <x v="2"/>
    <x v="0"/>
    <x v="3"/>
    <x v="3"/>
    <x v="3"/>
    <x v="2"/>
  </r>
  <r>
    <x v="430"/>
    <x v="8"/>
    <x v="2"/>
    <n v="30.3"/>
    <x v="407"/>
    <x v="18"/>
    <d v="2025-01-23T00:00:00"/>
    <x v="2"/>
    <x v="0"/>
    <x v="1"/>
    <x v="0"/>
    <x v="3"/>
    <x v="5"/>
    <x v="3"/>
    <x v="2"/>
  </r>
  <r>
    <x v="431"/>
    <x v="12"/>
    <x v="1"/>
    <n v="30.3"/>
    <x v="408"/>
    <x v="18"/>
    <d v="2025-01-24T00:00:00"/>
    <x v="2"/>
    <x v="0"/>
    <x v="2"/>
    <x v="0"/>
    <x v="37"/>
    <x v="0"/>
    <x v="3"/>
    <x v="2"/>
  </r>
  <r>
    <x v="432"/>
    <x v="10"/>
    <x v="2"/>
    <n v="53"/>
    <x v="409"/>
    <x v="18"/>
    <d v="2025-01-26T00:00:00"/>
    <x v="2"/>
    <x v="2"/>
    <x v="0"/>
    <x v="0"/>
    <x v="24"/>
    <x v="6"/>
    <x v="3"/>
    <x v="2"/>
  </r>
  <r>
    <x v="433"/>
    <x v="5"/>
    <x v="16"/>
    <n v="59.9"/>
    <x v="410"/>
    <x v="18"/>
    <d v="2025-01-22T00:00:00"/>
    <x v="1"/>
    <x v="2"/>
    <x v="4"/>
    <x v="0"/>
    <x v="25"/>
    <x v="2"/>
    <x v="3"/>
    <x v="1"/>
  </r>
  <r>
    <x v="434"/>
    <x v="9"/>
    <x v="1"/>
    <n v="45.7"/>
    <x v="411"/>
    <x v="18"/>
    <d v="2025-01-20T00:00:00"/>
    <x v="2"/>
    <x v="1"/>
    <x v="2"/>
    <x v="0"/>
    <x v="6"/>
    <x v="3"/>
    <x v="3"/>
    <x v="2"/>
  </r>
  <r>
    <x v="435"/>
    <x v="8"/>
    <x v="12"/>
    <n v="46.1"/>
    <x v="412"/>
    <x v="18"/>
    <d v="2025-01-20T00:00:00"/>
    <x v="1"/>
    <x v="0"/>
    <x v="0"/>
    <x v="0"/>
    <x v="6"/>
    <x v="3"/>
    <x v="3"/>
    <x v="1"/>
  </r>
  <r>
    <x v="436"/>
    <x v="8"/>
    <x v="2"/>
    <n v="17.5"/>
    <x v="413"/>
    <x v="18"/>
    <d v="2025-01-20T00:00:00"/>
    <x v="2"/>
    <x v="0"/>
    <x v="2"/>
    <x v="0"/>
    <x v="8"/>
    <x v="3"/>
    <x v="3"/>
    <x v="2"/>
  </r>
  <r>
    <x v="437"/>
    <x v="10"/>
    <x v="2"/>
    <n v="36.5"/>
    <x v="414"/>
    <x v="18"/>
    <d v="2025-01-30T00:00:00"/>
    <x v="1"/>
    <x v="2"/>
    <x v="0"/>
    <x v="0"/>
    <x v="8"/>
    <x v="11"/>
    <x v="3"/>
    <x v="1"/>
  </r>
  <r>
    <x v="438"/>
    <x v="8"/>
    <x v="1"/>
    <n v="47.5"/>
    <x v="415"/>
    <x v="19"/>
    <d v="2025-01-22T00:00:00"/>
    <x v="2"/>
    <x v="1"/>
    <x v="0"/>
    <x v="0"/>
    <x v="8"/>
    <x v="1"/>
    <x v="3"/>
    <x v="2"/>
  </r>
  <r>
    <x v="439"/>
    <x v="6"/>
    <x v="9"/>
    <n v="45.6"/>
    <x v="416"/>
    <x v="19"/>
    <d v="2025-01-22T00:00:00"/>
    <x v="2"/>
    <x v="0"/>
    <x v="2"/>
    <x v="0"/>
    <x v="8"/>
    <x v="1"/>
    <x v="3"/>
    <x v="2"/>
  </r>
  <r>
    <x v="440"/>
    <x v="9"/>
    <x v="1"/>
    <n v="50.5"/>
    <x v="95"/>
    <x v="19"/>
    <d v="2025-01-22T00:00:00"/>
    <x v="1"/>
    <x v="0"/>
    <x v="1"/>
    <x v="0"/>
    <x v="17"/>
    <x v="1"/>
    <x v="3"/>
    <x v="1"/>
  </r>
  <r>
    <x v="441"/>
    <x v="2"/>
    <x v="7"/>
    <n v="99.8"/>
    <x v="417"/>
    <x v="19"/>
    <d v="2025-01-23T00:00:00"/>
    <x v="2"/>
    <x v="2"/>
    <x v="1"/>
    <x v="0"/>
    <x v="17"/>
    <x v="2"/>
    <x v="3"/>
    <x v="2"/>
  </r>
  <r>
    <x v="442"/>
    <x v="8"/>
    <x v="20"/>
    <n v="19.2"/>
    <x v="346"/>
    <x v="19"/>
    <d v="2025-01-22T00:00:00"/>
    <x v="3"/>
    <x v="4"/>
    <x v="1"/>
    <x v="0"/>
    <x v="26"/>
    <x v="1"/>
    <x v="3"/>
    <x v="3"/>
  </r>
  <r>
    <x v="443"/>
    <x v="17"/>
    <x v="2"/>
    <n v="22.6"/>
    <x v="418"/>
    <x v="19"/>
    <d v="2025-01-21T00:00:00"/>
    <x v="1"/>
    <x v="1"/>
    <x v="0"/>
    <x v="0"/>
    <x v="11"/>
    <x v="3"/>
    <x v="3"/>
    <x v="1"/>
  </r>
  <r>
    <x v="444"/>
    <x v="1"/>
    <x v="20"/>
    <n v="126.9"/>
    <x v="419"/>
    <x v="19"/>
    <d v="2025-01-22T00:00:00"/>
    <x v="2"/>
    <x v="0"/>
    <x v="2"/>
    <x v="0"/>
    <x v="11"/>
    <x v="1"/>
    <x v="3"/>
    <x v="2"/>
  </r>
  <r>
    <x v="445"/>
    <x v="2"/>
    <x v="1"/>
    <n v="100.3"/>
    <x v="420"/>
    <x v="19"/>
    <d v="2025-01-21T00:00:00"/>
    <x v="2"/>
    <x v="0"/>
    <x v="1"/>
    <x v="0"/>
    <x v="11"/>
    <x v="3"/>
    <x v="3"/>
    <x v="2"/>
  </r>
  <r>
    <x v="446"/>
    <x v="4"/>
    <x v="16"/>
    <n v="24.6"/>
    <x v="421"/>
    <x v="19"/>
    <d v="2025-01-21T00:00:00"/>
    <x v="2"/>
    <x v="4"/>
    <x v="0"/>
    <x v="0"/>
    <x v="13"/>
    <x v="3"/>
    <x v="3"/>
    <x v="2"/>
  </r>
  <r>
    <x v="447"/>
    <x v="6"/>
    <x v="1"/>
    <n v="47.3"/>
    <x v="422"/>
    <x v="19"/>
    <d v="2025-01-21T00:00:00"/>
    <x v="1"/>
    <x v="1"/>
    <x v="2"/>
    <x v="0"/>
    <x v="13"/>
    <x v="3"/>
    <x v="3"/>
    <x v="1"/>
  </r>
  <r>
    <x v="448"/>
    <x v="6"/>
    <x v="3"/>
    <n v="40.799999999999997"/>
    <x v="423"/>
    <x v="19"/>
    <d v="2025-01-23T00:00:00"/>
    <x v="2"/>
    <x v="2"/>
    <x v="2"/>
    <x v="0"/>
    <x v="21"/>
    <x v="2"/>
    <x v="3"/>
    <x v="2"/>
  </r>
  <r>
    <x v="449"/>
    <x v="8"/>
    <x v="8"/>
    <n v="49.2"/>
    <x v="424"/>
    <x v="19"/>
    <d v="2025-01-22T00:00:00"/>
    <x v="2"/>
    <x v="0"/>
    <x v="0"/>
    <x v="0"/>
    <x v="1"/>
    <x v="1"/>
    <x v="3"/>
    <x v="2"/>
  </r>
  <r>
    <x v="450"/>
    <x v="8"/>
    <x v="0"/>
    <n v="28.5"/>
    <x v="425"/>
    <x v="19"/>
    <d v="2025-01-22T00:00:00"/>
    <x v="0"/>
    <x v="2"/>
    <x v="1"/>
    <x v="0"/>
    <x v="3"/>
    <x v="1"/>
    <x v="3"/>
    <x v="0"/>
  </r>
  <r>
    <x v="451"/>
    <x v="18"/>
    <x v="1"/>
    <n v="36.799999999999997"/>
    <x v="426"/>
    <x v="19"/>
    <d v="2025-01-26T00:00:00"/>
    <x v="2"/>
    <x v="0"/>
    <x v="2"/>
    <x v="0"/>
    <x v="3"/>
    <x v="4"/>
    <x v="3"/>
    <x v="2"/>
  </r>
  <r>
    <x v="452"/>
    <x v="7"/>
    <x v="2"/>
    <n v="33.5"/>
    <x v="427"/>
    <x v="19"/>
    <d v="2025-01-21T00:00:00"/>
    <x v="2"/>
    <x v="0"/>
    <x v="1"/>
    <x v="0"/>
    <x v="3"/>
    <x v="3"/>
    <x v="3"/>
    <x v="2"/>
  </r>
  <r>
    <x v="453"/>
    <x v="6"/>
    <x v="13"/>
    <n v="62.5"/>
    <x v="428"/>
    <x v="19"/>
    <d v="2025-01-22T00:00:00"/>
    <x v="2"/>
    <x v="0"/>
    <x v="0"/>
    <x v="0"/>
    <x v="3"/>
    <x v="1"/>
    <x v="3"/>
    <x v="2"/>
  </r>
  <r>
    <x v="454"/>
    <x v="8"/>
    <x v="29"/>
    <n v="47.9"/>
    <x v="429"/>
    <x v="19"/>
    <d v="2025-01-21T00:00:00"/>
    <x v="2"/>
    <x v="3"/>
    <x v="0"/>
    <x v="0"/>
    <x v="3"/>
    <x v="3"/>
    <x v="3"/>
    <x v="2"/>
  </r>
  <r>
    <x v="455"/>
    <x v="6"/>
    <x v="13"/>
    <n v="92.9"/>
    <x v="430"/>
    <x v="19"/>
    <d v="2025-01-31T00:00:00"/>
    <x v="2"/>
    <x v="0"/>
    <x v="4"/>
    <x v="0"/>
    <x v="3"/>
    <x v="11"/>
    <x v="3"/>
    <x v="2"/>
  </r>
  <r>
    <x v="456"/>
    <x v="12"/>
    <x v="2"/>
    <n v="44.1"/>
    <x v="431"/>
    <x v="19"/>
    <d v="2025-01-20T00:00:00"/>
    <x v="2"/>
    <x v="1"/>
    <x v="1"/>
    <x v="0"/>
    <x v="43"/>
    <x v="7"/>
    <x v="3"/>
    <x v="2"/>
  </r>
  <r>
    <x v="457"/>
    <x v="0"/>
    <x v="0"/>
    <n v="11.4"/>
    <x v="432"/>
    <x v="20"/>
    <d v="2025-01-23T00:00:00"/>
    <x v="2"/>
    <x v="2"/>
    <x v="0"/>
    <x v="0"/>
    <x v="5"/>
    <x v="1"/>
    <x v="3"/>
    <x v="2"/>
  </r>
  <r>
    <x v="458"/>
    <x v="6"/>
    <x v="0"/>
    <n v="83.7"/>
    <x v="433"/>
    <x v="20"/>
    <d v="2025-01-23T00:00:00"/>
    <x v="2"/>
    <x v="0"/>
    <x v="2"/>
    <x v="0"/>
    <x v="6"/>
    <x v="1"/>
    <x v="3"/>
    <x v="2"/>
  </r>
  <r>
    <x v="459"/>
    <x v="10"/>
    <x v="1"/>
    <n v="23.2"/>
    <x v="434"/>
    <x v="20"/>
    <d v="2025-01-22T00:00:00"/>
    <x v="1"/>
    <x v="2"/>
    <x v="0"/>
    <x v="0"/>
    <x v="8"/>
    <x v="3"/>
    <x v="3"/>
    <x v="1"/>
  </r>
  <r>
    <x v="460"/>
    <x v="2"/>
    <x v="0"/>
    <n v="162.1"/>
    <x v="435"/>
    <x v="20"/>
    <d v="2025-01-24T00:00:00"/>
    <x v="2"/>
    <x v="0"/>
    <x v="2"/>
    <x v="0"/>
    <x v="9"/>
    <x v="2"/>
    <x v="3"/>
    <x v="2"/>
  </r>
  <r>
    <x v="461"/>
    <x v="6"/>
    <x v="12"/>
    <n v="49.2"/>
    <x v="436"/>
    <x v="20"/>
    <d v="2025-01-25T00:00:00"/>
    <x v="1"/>
    <x v="1"/>
    <x v="0"/>
    <x v="0"/>
    <x v="9"/>
    <x v="5"/>
    <x v="3"/>
    <x v="1"/>
  </r>
  <r>
    <x v="462"/>
    <x v="1"/>
    <x v="1"/>
    <n v="61"/>
    <x v="164"/>
    <x v="20"/>
    <d v="2025-01-22T00:00:00"/>
    <x v="1"/>
    <x v="3"/>
    <x v="0"/>
    <x v="0"/>
    <x v="10"/>
    <x v="3"/>
    <x v="3"/>
    <x v="1"/>
  </r>
  <r>
    <x v="463"/>
    <x v="2"/>
    <x v="7"/>
    <n v="53.1"/>
    <x v="437"/>
    <x v="20"/>
    <d v="2025-01-23T00:00:00"/>
    <x v="1"/>
    <x v="0"/>
    <x v="0"/>
    <x v="0"/>
    <x v="11"/>
    <x v="1"/>
    <x v="3"/>
    <x v="1"/>
  </r>
  <r>
    <x v="464"/>
    <x v="4"/>
    <x v="1"/>
    <n v="22.4"/>
    <x v="438"/>
    <x v="20"/>
    <d v="2025-01-23T00:00:00"/>
    <x v="0"/>
    <x v="1"/>
    <x v="2"/>
    <x v="0"/>
    <x v="13"/>
    <x v="1"/>
    <x v="3"/>
    <x v="0"/>
  </r>
  <r>
    <x v="465"/>
    <x v="1"/>
    <x v="9"/>
    <n v="75.3"/>
    <x v="439"/>
    <x v="20"/>
    <d v="2025-01-22T00:00:00"/>
    <x v="1"/>
    <x v="0"/>
    <x v="0"/>
    <x v="0"/>
    <x v="21"/>
    <x v="3"/>
    <x v="3"/>
    <x v="1"/>
  </r>
  <r>
    <x v="466"/>
    <x v="6"/>
    <x v="0"/>
    <n v="48.5"/>
    <x v="319"/>
    <x v="20"/>
    <d v="2025-01-22T00:00:00"/>
    <x v="2"/>
    <x v="0"/>
    <x v="1"/>
    <x v="0"/>
    <x v="21"/>
    <x v="3"/>
    <x v="3"/>
    <x v="2"/>
  </r>
  <r>
    <x v="467"/>
    <x v="6"/>
    <x v="0"/>
    <n v="42.6"/>
    <x v="440"/>
    <x v="20"/>
    <d v="2025-01-25T00:00:00"/>
    <x v="2"/>
    <x v="3"/>
    <x v="0"/>
    <x v="0"/>
    <x v="1"/>
    <x v="5"/>
    <x v="3"/>
    <x v="2"/>
  </r>
  <r>
    <x v="468"/>
    <x v="5"/>
    <x v="9"/>
    <n v="49"/>
    <x v="441"/>
    <x v="20"/>
    <d v="2025-01-22T00:00:00"/>
    <x v="1"/>
    <x v="0"/>
    <x v="0"/>
    <x v="0"/>
    <x v="22"/>
    <x v="3"/>
    <x v="3"/>
    <x v="1"/>
  </r>
  <r>
    <x v="469"/>
    <x v="8"/>
    <x v="2"/>
    <n v="31.3"/>
    <x v="442"/>
    <x v="20"/>
    <d v="2025-01-22T00:00:00"/>
    <x v="1"/>
    <x v="2"/>
    <x v="1"/>
    <x v="0"/>
    <x v="3"/>
    <x v="3"/>
    <x v="3"/>
    <x v="1"/>
  </r>
  <r>
    <x v="470"/>
    <x v="2"/>
    <x v="1"/>
    <n v="85.4"/>
    <x v="443"/>
    <x v="20"/>
    <d v="2025-01-22T00:00:00"/>
    <x v="2"/>
    <x v="2"/>
    <x v="0"/>
    <x v="0"/>
    <x v="3"/>
    <x v="3"/>
    <x v="3"/>
    <x v="2"/>
  </r>
  <r>
    <x v="471"/>
    <x v="8"/>
    <x v="12"/>
    <n v="40"/>
    <x v="444"/>
    <x v="20"/>
    <d v="2025-01-22T00:00:00"/>
    <x v="3"/>
    <x v="0"/>
    <x v="2"/>
    <x v="0"/>
    <x v="3"/>
    <x v="3"/>
    <x v="3"/>
    <x v="3"/>
  </r>
  <r>
    <x v="472"/>
    <x v="5"/>
    <x v="1"/>
    <n v="38.5"/>
    <x v="445"/>
    <x v="20"/>
    <d v="2025-01-24T00:00:00"/>
    <x v="1"/>
    <x v="1"/>
    <x v="2"/>
    <x v="0"/>
    <x v="3"/>
    <x v="2"/>
    <x v="3"/>
    <x v="1"/>
  </r>
  <r>
    <x v="473"/>
    <x v="2"/>
    <x v="1"/>
    <n v="57.8"/>
    <x v="446"/>
    <x v="20"/>
    <d v="2025-01-22T00:00:00"/>
    <x v="0"/>
    <x v="0"/>
    <x v="0"/>
    <x v="0"/>
    <x v="3"/>
    <x v="3"/>
    <x v="3"/>
    <x v="0"/>
  </r>
  <r>
    <x v="474"/>
    <x v="8"/>
    <x v="0"/>
    <n v="19.2"/>
    <x v="447"/>
    <x v="20"/>
    <d v="2025-01-22T00:00:00"/>
    <x v="2"/>
    <x v="0"/>
    <x v="4"/>
    <x v="0"/>
    <x v="3"/>
    <x v="3"/>
    <x v="3"/>
    <x v="2"/>
  </r>
  <r>
    <x v="475"/>
    <x v="6"/>
    <x v="13"/>
    <n v="114.8"/>
    <x v="448"/>
    <x v="20"/>
    <d v="2025-01-24T00:00:00"/>
    <x v="1"/>
    <x v="1"/>
    <x v="1"/>
    <x v="0"/>
    <x v="3"/>
    <x v="2"/>
    <x v="3"/>
    <x v="1"/>
  </r>
  <r>
    <x v="476"/>
    <x v="10"/>
    <x v="3"/>
    <n v="48.4"/>
    <x v="449"/>
    <x v="20"/>
    <d v="2025-01-24T00:00:00"/>
    <x v="2"/>
    <x v="3"/>
    <x v="1"/>
    <x v="0"/>
    <x v="3"/>
    <x v="2"/>
    <x v="3"/>
    <x v="2"/>
  </r>
  <r>
    <x v="477"/>
    <x v="9"/>
    <x v="9"/>
    <n v="73.2"/>
    <x v="450"/>
    <x v="20"/>
    <d v="2025-01-22T00:00:00"/>
    <x v="2"/>
    <x v="1"/>
    <x v="4"/>
    <x v="0"/>
    <x v="3"/>
    <x v="3"/>
    <x v="3"/>
    <x v="2"/>
  </r>
  <r>
    <x v="478"/>
    <x v="15"/>
    <x v="1"/>
    <n v="48.6"/>
    <x v="451"/>
    <x v="20"/>
    <d v="2025-01-25T00:00:00"/>
    <x v="2"/>
    <x v="3"/>
    <x v="0"/>
    <x v="0"/>
    <x v="3"/>
    <x v="5"/>
    <x v="3"/>
    <x v="2"/>
  </r>
  <r>
    <x v="479"/>
    <x v="0"/>
    <x v="13"/>
    <n v="48.7"/>
    <x v="452"/>
    <x v="20"/>
    <d v="2025-01-22T00:00:00"/>
    <x v="1"/>
    <x v="0"/>
    <x v="0"/>
    <x v="0"/>
    <x v="3"/>
    <x v="3"/>
    <x v="3"/>
    <x v="1"/>
  </r>
  <r>
    <x v="480"/>
    <x v="4"/>
    <x v="1"/>
    <n v="32.200000000000003"/>
    <x v="453"/>
    <x v="20"/>
    <d v="2025-01-24T00:00:00"/>
    <x v="1"/>
    <x v="2"/>
    <x v="2"/>
    <x v="0"/>
    <x v="3"/>
    <x v="2"/>
    <x v="3"/>
    <x v="1"/>
  </r>
  <r>
    <x v="481"/>
    <x v="15"/>
    <x v="8"/>
    <n v="25.8"/>
    <x v="454"/>
    <x v="20"/>
    <d v="2025-01-22T00:00:00"/>
    <x v="1"/>
    <x v="0"/>
    <x v="0"/>
    <x v="0"/>
    <x v="37"/>
    <x v="3"/>
    <x v="3"/>
    <x v="1"/>
  </r>
  <r>
    <x v="482"/>
    <x v="6"/>
    <x v="1"/>
    <n v="94.8"/>
    <x v="455"/>
    <x v="21"/>
    <d v="2025-01-25T00:00:00"/>
    <x v="2"/>
    <x v="1"/>
    <x v="1"/>
    <x v="0"/>
    <x v="25"/>
    <x v="2"/>
    <x v="3"/>
    <x v="2"/>
  </r>
  <r>
    <x v="483"/>
    <x v="15"/>
    <x v="30"/>
    <n v="56.8"/>
    <x v="456"/>
    <x v="21"/>
    <d v="2025-01-25T00:00:00"/>
    <x v="1"/>
    <x v="0"/>
    <x v="0"/>
    <x v="0"/>
    <x v="25"/>
    <x v="2"/>
    <x v="3"/>
    <x v="1"/>
  </r>
  <r>
    <x v="484"/>
    <x v="8"/>
    <x v="27"/>
    <n v="18.3"/>
    <x v="457"/>
    <x v="21"/>
    <d v="2025-01-29T00:00:00"/>
    <x v="2"/>
    <x v="2"/>
    <x v="2"/>
    <x v="0"/>
    <x v="23"/>
    <x v="6"/>
    <x v="3"/>
    <x v="2"/>
  </r>
  <r>
    <x v="485"/>
    <x v="0"/>
    <x v="2"/>
    <n v="16.8"/>
    <x v="458"/>
    <x v="21"/>
    <d v="2025-01-27T00:00:00"/>
    <x v="2"/>
    <x v="2"/>
    <x v="2"/>
    <x v="0"/>
    <x v="8"/>
    <x v="0"/>
    <x v="3"/>
    <x v="2"/>
  </r>
  <r>
    <x v="486"/>
    <x v="5"/>
    <x v="5"/>
    <n v="35.799999999999997"/>
    <x v="459"/>
    <x v="21"/>
    <d v="2025-01-23T00:00:00"/>
    <x v="1"/>
    <x v="1"/>
    <x v="0"/>
    <x v="0"/>
    <x v="17"/>
    <x v="3"/>
    <x v="3"/>
    <x v="1"/>
  </r>
  <r>
    <x v="487"/>
    <x v="18"/>
    <x v="0"/>
    <n v="64.900000000000006"/>
    <x v="460"/>
    <x v="21"/>
    <d v="2025-01-23T00:00:00"/>
    <x v="1"/>
    <x v="0"/>
    <x v="1"/>
    <x v="0"/>
    <x v="17"/>
    <x v="3"/>
    <x v="3"/>
    <x v="1"/>
  </r>
  <r>
    <x v="488"/>
    <x v="18"/>
    <x v="0"/>
    <n v="28.5"/>
    <x v="425"/>
    <x v="21"/>
    <d v="2025-01-24T00:00:00"/>
    <x v="0"/>
    <x v="1"/>
    <x v="0"/>
    <x v="0"/>
    <x v="9"/>
    <x v="1"/>
    <x v="3"/>
    <x v="0"/>
  </r>
  <r>
    <x v="489"/>
    <x v="18"/>
    <x v="1"/>
    <n v="103.5"/>
    <x v="461"/>
    <x v="21"/>
    <d v="2025-01-24T00:00:00"/>
    <x v="2"/>
    <x v="1"/>
    <x v="0"/>
    <x v="0"/>
    <x v="10"/>
    <x v="1"/>
    <x v="3"/>
    <x v="2"/>
  </r>
  <r>
    <x v="490"/>
    <x v="4"/>
    <x v="1"/>
    <n v="41.2"/>
    <x v="462"/>
    <x v="21"/>
    <d v="2025-01-23T00:00:00"/>
    <x v="2"/>
    <x v="1"/>
    <x v="0"/>
    <x v="0"/>
    <x v="10"/>
    <x v="3"/>
    <x v="3"/>
    <x v="2"/>
  </r>
  <r>
    <x v="491"/>
    <x v="9"/>
    <x v="0"/>
    <n v="37.799999999999997"/>
    <x v="463"/>
    <x v="21"/>
    <d v="2025-01-24T00:00:00"/>
    <x v="2"/>
    <x v="3"/>
    <x v="3"/>
    <x v="0"/>
    <x v="11"/>
    <x v="1"/>
    <x v="3"/>
    <x v="2"/>
  </r>
  <r>
    <x v="492"/>
    <x v="8"/>
    <x v="1"/>
    <n v="42.6"/>
    <x v="464"/>
    <x v="21"/>
    <d v="2025-01-24T00:00:00"/>
    <x v="2"/>
    <x v="4"/>
    <x v="0"/>
    <x v="0"/>
    <x v="11"/>
    <x v="1"/>
    <x v="3"/>
    <x v="2"/>
  </r>
  <r>
    <x v="493"/>
    <x v="8"/>
    <x v="7"/>
    <n v="15.2"/>
    <x v="465"/>
    <x v="21"/>
    <d v="2025-01-24T00:00:00"/>
    <x v="2"/>
    <x v="2"/>
    <x v="0"/>
    <x v="0"/>
    <x v="11"/>
    <x v="1"/>
    <x v="3"/>
    <x v="2"/>
  </r>
  <r>
    <x v="494"/>
    <x v="7"/>
    <x v="12"/>
    <n v="83.4"/>
    <x v="335"/>
    <x v="21"/>
    <d v="2025-01-23T00:00:00"/>
    <x v="2"/>
    <x v="2"/>
    <x v="1"/>
    <x v="0"/>
    <x v="18"/>
    <x v="3"/>
    <x v="3"/>
    <x v="2"/>
  </r>
  <r>
    <x v="495"/>
    <x v="19"/>
    <x v="1"/>
    <n v="27.7"/>
    <x v="466"/>
    <x v="21"/>
    <d v="2025-01-23T00:00:00"/>
    <x v="2"/>
    <x v="0"/>
    <x v="1"/>
    <x v="0"/>
    <x v="13"/>
    <x v="3"/>
    <x v="3"/>
    <x v="2"/>
  </r>
  <r>
    <x v="496"/>
    <x v="10"/>
    <x v="4"/>
    <n v="20.8"/>
    <x v="467"/>
    <x v="21"/>
    <d v="2025-01-23T00:00:00"/>
    <x v="1"/>
    <x v="3"/>
    <x v="0"/>
    <x v="0"/>
    <x v="13"/>
    <x v="3"/>
    <x v="3"/>
    <x v="1"/>
  </r>
  <r>
    <x v="497"/>
    <x v="11"/>
    <x v="1"/>
    <n v="72.7"/>
    <x v="468"/>
    <x v="21"/>
    <d v="2025-01-26T00:00:00"/>
    <x v="2"/>
    <x v="4"/>
    <x v="2"/>
    <x v="0"/>
    <x v="44"/>
    <x v="5"/>
    <x v="3"/>
    <x v="2"/>
  </r>
  <r>
    <x v="498"/>
    <x v="10"/>
    <x v="12"/>
    <n v="38.6"/>
    <x v="55"/>
    <x v="21"/>
    <d v="2025-01-23T00:00:00"/>
    <x v="1"/>
    <x v="0"/>
    <x v="2"/>
    <x v="0"/>
    <x v="22"/>
    <x v="3"/>
    <x v="3"/>
    <x v="1"/>
  </r>
  <r>
    <x v="499"/>
    <x v="8"/>
    <x v="3"/>
    <n v="33.1"/>
    <x v="217"/>
    <x v="21"/>
    <d v="2025-01-23T00:00:00"/>
    <x v="3"/>
    <x v="4"/>
    <x v="3"/>
    <x v="0"/>
    <x v="3"/>
    <x v="3"/>
    <x v="3"/>
    <x v="3"/>
  </r>
  <r>
    <x v="500"/>
    <x v="10"/>
    <x v="1"/>
    <n v="30.5"/>
    <x v="170"/>
    <x v="21"/>
    <d v="2025-01-22T00:00:00"/>
    <x v="0"/>
    <x v="1"/>
    <x v="1"/>
    <x v="0"/>
    <x v="3"/>
    <x v="7"/>
    <x v="3"/>
    <x v="0"/>
  </r>
  <r>
    <x v="501"/>
    <x v="9"/>
    <x v="1"/>
    <n v="69.599999999999994"/>
    <x v="388"/>
    <x v="21"/>
    <d v="2025-01-23T00:00:00"/>
    <x v="1"/>
    <x v="0"/>
    <x v="1"/>
    <x v="0"/>
    <x v="3"/>
    <x v="3"/>
    <x v="3"/>
    <x v="1"/>
  </r>
  <r>
    <x v="502"/>
    <x v="11"/>
    <x v="0"/>
    <n v="42.4"/>
    <x v="469"/>
    <x v="21"/>
    <d v="2025-01-26T00:00:00"/>
    <x v="2"/>
    <x v="1"/>
    <x v="0"/>
    <x v="0"/>
    <x v="3"/>
    <x v="5"/>
    <x v="3"/>
    <x v="2"/>
  </r>
  <r>
    <x v="503"/>
    <x v="17"/>
    <x v="0"/>
    <n v="32.200000000000003"/>
    <x v="390"/>
    <x v="21"/>
    <d v="2025-01-25T00:00:00"/>
    <x v="2"/>
    <x v="2"/>
    <x v="1"/>
    <x v="0"/>
    <x v="3"/>
    <x v="2"/>
    <x v="3"/>
    <x v="2"/>
  </r>
  <r>
    <x v="504"/>
    <x v="6"/>
    <x v="1"/>
    <n v="41.5"/>
    <x v="470"/>
    <x v="21"/>
    <d v="2025-01-25T00:00:00"/>
    <x v="2"/>
    <x v="0"/>
    <x v="2"/>
    <x v="0"/>
    <x v="3"/>
    <x v="2"/>
    <x v="3"/>
    <x v="2"/>
  </r>
  <r>
    <x v="505"/>
    <x v="16"/>
    <x v="11"/>
    <n v="58.9"/>
    <x v="471"/>
    <x v="21"/>
    <d v="2025-01-26T00:00:00"/>
    <x v="2"/>
    <x v="3"/>
    <x v="0"/>
    <x v="0"/>
    <x v="3"/>
    <x v="5"/>
    <x v="3"/>
    <x v="2"/>
  </r>
  <r>
    <x v="506"/>
    <x v="2"/>
    <x v="0"/>
    <n v="57.1"/>
    <x v="472"/>
    <x v="21"/>
    <d v="2025-01-25T00:00:00"/>
    <x v="2"/>
    <x v="1"/>
    <x v="0"/>
    <x v="0"/>
    <x v="3"/>
    <x v="2"/>
    <x v="3"/>
    <x v="2"/>
  </r>
  <r>
    <x v="507"/>
    <x v="6"/>
    <x v="0"/>
    <n v="57.2"/>
    <x v="473"/>
    <x v="21"/>
    <d v="2025-01-24T00:00:00"/>
    <x v="1"/>
    <x v="1"/>
    <x v="0"/>
    <x v="0"/>
    <x v="3"/>
    <x v="1"/>
    <x v="3"/>
    <x v="1"/>
  </r>
  <r>
    <x v="508"/>
    <x v="8"/>
    <x v="1"/>
    <n v="35.1"/>
    <x v="474"/>
    <x v="21"/>
    <d v="2025-01-23T00:00:00"/>
    <x v="1"/>
    <x v="1"/>
    <x v="0"/>
    <x v="0"/>
    <x v="6"/>
    <x v="3"/>
    <x v="3"/>
    <x v="1"/>
  </r>
  <r>
    <x v="509"/>
    <x v="1"/>
    <x v="0"/>
    <n v="52.1"/>
    <x v="475"/>
    <x v="21"/>
    <d v="2025-01-24T00:00:00"/>
    <x v="2"/>
    <x v="4"/>
    <x v="1"/>
    <x v="0"/>
    <x v="8"/>
    <x v="1"/>
    <x v="3"/>
    <x v="2"/>
  </r>
  <r>
    <x v="510"/>
    <x v="13"/>
    <x v="2"/>
    <n v="59.8"/>
    <x v="476"/>
    <x v="21"/>
    <d v="2025-01-24T00:00:00"/>
    <x v="2"/>
    <x v="4"/>
    <x v="1"/>
    <x v="0"/>
    <x v="8"/>
    <x v="1"/>
    <x v="3"/>
    <x v="2"/>
  </r>
  <r>
    <x v="511"/>
    <x v="3"/>
    <x v="12"/>
    <n v="83.3"/>
    <x v="477"/>
    <x v="21"/>
    <d v="2025-01-22T00:00:00"/>
    <x v="0"/>
    <x v="2"/>
    <x v="0"/>
    <x v="0"/>
    <x v="8"/>
    <x v="7"/>
    <x v="3"/>
    <x v="0"/>
  </r>
  <r>
    <x v="512"/>
    <x v="15"/>
    <x v="4"/>
    <n v="41.3"/>
    <x v="478"/>
    <x v="21"/>
    <d v="2025-01-23T00:00:00"/>
    <x v="2"/>
    <x v="1"/>
    <x v="0"/>
    <x v="0"/>
    <x v="8"/>
    <x v="3"/>
    <x v="3"/>
    <x v="2"/>
  </r>
  <r>
    <x v="513"/>
    <x v="8"/>
    <x v="9"/>
    <n v="16"/>
    <x v="479"/>
    <x v="21"/>
    <d v="2025-01-24T00:00:00"/>
    <x v="1"/>
    <x v="4"/>
    <x v="1"/>
    <x v="0"/>
    <x v="9"/>
    <x v="1"/>
    <x v="3"/>
    <x v="1"/>
  </r>
  <r>
    <x v="514"/>
    <x v="10"/>
    <x v="1"/>
    <n v="20.8"/>
    <x v="480"/>
    <x v="22"/>
    <d v="2025-01-25T00:00:00"/>
    <x v="1"/>
    <x v="0"/>
    <x v="2"/>
    <x v="0"/>
    <x v="11"/>
    <x v="1"/>
    <x v="3"/>
    <x v="1"/>
  </r>
  <r>
    <x v="515"/>
    <x v="8"/>
    <x v="31"/>
    <n v="27.1"/>
    <x v="481"/>
    <x v="22"/>
    <d v="2025-01-24T00:00:00"/>
    <x v="0"/>
    <x v="3"/>
    <x v="2"/>
    <x v="0"/>
    <x v="11"/>
    <x v="3"/>
    <x v="3"/>
    <x v="0"/>
  </r>
  <r>
    <x v="516"/>
    <x v="10"/>
    <x v="1"/>
    <n v="38.9"/>
    <x v="482"/>
    <x v="22"/>
    <d v="2025-01-25T00:00:00"/>
    <x v="2"/>
    <x v="0"/>
    <x v="0"/>
    <x v="0"/>
    <x v="18"/>
    <x v="1"/>
    <x v="3"/>
    <x v="2"/>
  </r>
  <r>
    <x v="517"/>
    <x v="0"/>
    <x v="1"/>
    <n v="10.8"/>
    <x v="483"/>
    <x v="22"/>
    <d v="2025-01-26T00:00:00"/>
    <x v="2"/>
    <x v="1"/>
    <x v="2"/>
    <x v="0"/>
    <x v="45"/>
    <x v="2"/>
    <x v="3"/>
    <x v="2"/>
  </r>
  <r>
    <x v="518"/>
    <x v="4"/>
    <x v="15"/>
    <n v="48.4"/>
    <x v="484"/>
    <x v="22"/>
    <d v="2025-01-27T00:00:00"/>
    <x v="2"/>
    <x v="0"/>
    <x v="0"/>
    <x v="0"/>
    <x v="21"/>
    <x v="5"/>
    <x v="3"/>
    <x v="2"/>
  </r>
  <r>
    <x v="519"/>
    <x v="4"/>
    <x v="2"/>
    <n v="29.2"/>
    <x v="485"/>
    <x v="22"/>
    <d v="2025-01-26T00:00:00"/>
    <x v="2"/>
    <x v="1"/>
    <x v="1"/>
    <x v="0"/>
    <x v="2"/>
    <x v="2"/>
    <x v="3"/>
    <x v="2"/>
  </r>
  <r>
    <x v="520"/>
    <x v="4"/>
    <x v="1"/>
    <n v="25.1"/>
    <x v="486"/>
    <x v="22"/>
    <d v="2025-01-24T00:00:00"/>
    <x v="1"/>
    <x v="0"/>
    <x v="1"/>
    <x v="0"/>
    <x v="2"/>
    <x v="3"/>
    <x v="3"/>
    <x v="1"/>
  </r>
  <r>
    <x v="521"/>
    <x v="7"/>
    <x v="2"/>
    <n v="65.599999999999994"/>
    <x v="487"/>
    <x v="22"/>
    <d v="2025-01-23T00:00:00"/>
    <x v="2"/>
    <x v="2"/>
    <x v="1"/>
    <x v="0"/>
    <x v="3"/>
    <x v="7"/>
    <x v="3"/>
    <x v="2"/>
  </r>
  <r>
    <x v="522"/>
    <x v="2"/>
    <x v="1"/>
    <n v="57.3"/>
    <x v="488"/>
    <x v="22"/>
    <d v="2025-01-23T00:00:00"/>
    <x v="0"/>
    <x v="0"/>
    <x v="0"/>
    <x v="0"/>
    <x v="3"/>
    <x v="7"/>
    <x v="3"/>
    <x v="0"/>
  </r>
  <r>
    <x v="523"/>
    <x v="9"/>
    <x v="12"/>
    <n v="22.4"/>
    <x v="70"/>
    <x v="22"/>
    <d v="2025-01-24T00:00:00"/>
    <x v="2"/>
    <x v="2"/>
    <x v="2"/>
    <x v="0"/>
    <x v="3"/>
    <x v="3"/>
    <x v="3"/>
    <x v="2"/>
  </r>
  <r>
    <x v="524"/>
    <x v="12"/>
    <x v="11"/>
    <n v="45.7"/>
    <x v="489"/>
    <x v="22"/>
    <d v="2025-01-24T00:00:00"/>
    <x v="2"/>
    <x v="0"/>
    <x v="0"/>
    <x v="0"/>
    <x v="3"/>
    <x v="3"/>
    <x v="3"/>
    <x v="2"/>
  </r>
  <r>
    <x v="525"/>
    <x v="8"/>
    <x v="1"/>
    <n v="29.3"/>
    <x v="150"/>
    <x v="22"/>
    <d v="2025-01-24T00:00:00"/>
    <x v="1"/>
    <x v="1"/>
    <x v="0"/>
    <x v="0"/>
    <x v="3"/>
    <x v="3"/>
    <x v="3"/>
    <x v="1"/>
  </r>
  <r>
    <x v="526"/>
    <x v="18"/>
    <x v="32"/>
    <n v="74"/>
    <x v="490"/>
    <x v="22"/>
    <d v="2025-01-24T00:00:00"/>
    <x v="1"/>
    <x v="0"/>
    <x v="2"/>
    <x v="0"/>
    <x v="3"/>
    <x v="3"/>
    <x v="3"/>
    <x v="1"/>
  </r>
  <r>
    <x v="527"/>
    <x v="14"/>
    <x v="1"/>
    <n v="39.200000000000003"/>
    <x v="491"/>
    <x v="22"/>
    <d v="2025-01-25T00:00:00"/>
    <x v="2"/>
    <x v="1"/>
    <x v="0"/>
    <x v="0"/>
    <x v="3"/>
    <x v="1"/>
    <x v="3"/>
    <x v="2"/>
  </r>
  <r>
    <x v="528"/>
    <x v="4"/>
    <x v="14"/>
    <n v="62.7"/>
    <x v="492"/>
    <x v="22"/>
    <d v="2025-01-24T00:00:00"/>
    <x v="2"/>
    <x v="2"/>
    <x v="1"/>
    <x v="0"/>
    <x v="3"/>
    <x v="3"/>
    <x v="3"/>
    <x v="2"/>
  </r>
  <r>
    <x v="529"/>
    <x v="10"/>
    <x v="1"/>
    <n v="60.1"/>
    <x v="493"/>
    <x v="22"/>
    <d v="2025-01-24T00:00:00"/>
    <x v="2"/>
    <x v="3"/>
    <x v="0"/>
    <x v="0"/>
    <x v="3"/>
    <x v="3"/>
    <x v="3"/>
    <x v="2"/>
  </r>
  <r>
    <x v="530"/>
    <x v="0"/>
    <x v="12"/>
    <n v="11.2"/>
    <x v="438"/>
    <x v="22"/>
    <d v="2025-01-24T00:00:00"/>
    <x v="2"/>
    <x v="3"/>
    <x v="1"/>
    <x v="0"/>
    <x v="3"/>
    <x v="3"/>
    <x v="3"/>
    <x v="2"/>
  </r>
  <r>
    <x v="531"/>
    <x v="8"/>
    <x v="1"/>
    <n v="22.9"/>
    <x v="494"/>
    <x v="22"/>
    <d v="2025-01-24T00:00:00"/>
    <x v="2"/>
    <x v="0"/>
    <x v="0"/>
    <x v="0"/>
    <x v="6"/>
    <x v="3"/>
    <x v="3"/>
    <x v="2"/>
  </r>
  <r>
    <x v="532"/>
    <x v="1"/>
    <x v="1"/>
    <n v="37.6"/>
    <x v="495"/>
    <x v="22"/>
    <d v="2025-01-26T00:00:00"/>
    <x v="2"/>
    <x v="0"/>
    <x v="0"/>
    <x v="0"/>
    <x v="6"/>
    <x v="2"/>
    <x v="3"/>
    <x v="2"/>
  </r>
  <r>
    <x v="533"/>
    <x v="6"/>
    <x v="0"/>
    <n v="42.4"/>
    <x v="469"/>
    <x v="22"/>
    <d v="2025-01-24T00:00:00"/>
    <x v="2"/>
    <x v="3"/>
    <x v="2"/>
    <x v="0"/>
    <x v="6"/>
    <x v="3"/>
    <x v="3"/>
    <x v="2"/>
  </r>
  <r>
    <x v="534"/>
    <x v="8"/>
    <x v="1"/>
    <n v="19.600000000000001"/>
    <x v="496"/>
    <x v="22"/>
    <d v="2025-01-27T00:00:00"/>
    <x v="2"/>
    <x v="2"/>
    <x v="0"/>
    <x v="0"/>
    <x v="7"/>
    <x v="5"/>
    <x v="3"/>
    <x v="2"/>
  </r>
  <r>
    <x v="535"/>
    <x v="9"/>
    <x v="0"/>
    <n v="90.5"/>
    <x v="497"/>
    <x v="22"/>
    <d v="2025-01-26T00:00:00"/>
    <x v="2"/>
    <x v="2"/>
    <x v="0"/>
    <x v="0"/>
    <x v="7"/>
    <x v="2"/>
    <x v="3"/>
    <x v="2"/>
  </r>
  <r>
    <x v="536"/>
    <x v="16"/>
    <x v="5"/>
    <n v="33.9"/>
    <x v="498"/>
    <x v="22"/>
    <d v="2025-01-24T00:00:00"/>
    <x v="1"/>
    <x v="2"/>
    <x v="1"/>
    <x v="0"/>
    <x v="7"/>
    <x v="3"/>
    <x v="3"/>
    <x v="1"/>
  </r>
  <r>
    <x v="537"/>
    <x v="0"/>
    <x v="1"/>
    <n v="32.799999999999997"/>
    <x v="499"/>
    <x v="22"/>
    <d v="2025-01-25T00:00:00"/>
    <x v="2"/>
    <x v="4"/>
    <x v="4"/>
    <x v="0"/>
    <x v="8"/>
    <x v="1"/>
    <x v="3"/>
    <x v="2"/>
  </r>
  <r>
    <x v="538"/>
    <x v="15"/>
    <x v="0"/>
    <n v="49.9"/>
    <x v="500"/>
    <x v="22"/>
    <d v="2025-01-24T00:00:00"/>
    <x v="1"/>
    <x v="3"/>
    <x v="1"/>
    <x v="0"/>
    <x v="8"/>
    <x v="3"/>
    <x v="3"/>
    <x v="1"/>
  </r>
  <r>
    <x v="539"/>
    <x v="7"/>
    <x v="9"/>
    <n v="79.2"/>
    <x v="501"/>
    <x v="22"/>
    <d v="2025-01-24T00:00:00"/>
    <x v="2"/>
    <x v="4"/>
    <x v="0"/>
    <x v="0"/>
    <x v="8"/>
    <x v="3"/>
    <x v="3"/>
    <x v="2"/>
  </r>
  <r>
    <x v="540"/>
    <x v="8"/>
    <x v="27"/>
    <n v="19.5"/>
    <x v="502"/>
    <x v="22"/>
    <d v="2025-01-25T00:00:00"/>
    <x v="1"/>
    <x v="3"/>
    <x v="2"/>
    <x v="0"/>
    <x v="8"/>
    <x v="1"/>
    <x v="3"/>
    <x v="1"/>
  </r>
  <r>
    <x v="541"/>
    <x v="8"/>
    <x v="12"/>
    <n v="18"/>
    <x v="503"/>
    <x v="22"/>
    <d v="2025-01-24T00:00:00"/>
    <x v="1"/>
    <x v="1"/>
    <x v="0"/>
    <x v="0"/>
    <x v="10"/>
    <x v="3"/>
    <x v="3"/>
    <x v="1"/>
  </r>
  <r>
    <x v="542"/>
    <x v="9"/>
    <x v="2"/>
    <n v="45.9"/>
    <x v="223"/>
    <x v="22"/>
    <d v="2025-01-25T00:00:00"/>
    <x v="2"/>
    <x v="1"/>
    <x v="1"/>
    <x v="0"/>
    <x v="10"/>
    <x v="1"/>
    <x v="3"/>
    <x v="2"/>
  </r>
  <r>
    <x v="543"/>
    <x v="11"/>
    <x v="0"/>
    <n v="41.2"/>
    <x v="504"/>
    <x v="22"/>
    <d v="2025-01-25T00:00:00"/>
    <x v="2"/>
    <x v="1"/>
    <x v="2"/>
    <x v="0"/>
    <x v="11"/>
    <x v="1"/>
    <x v="3"/>
    <x v="2"/>
  </r>
  <r>
    <x v="544"/>
    <x v="2"/>
    <x v="7"/>
    <n v="167.2"/>
    <x v="505"/>
    <x v="22"/>
    <d v="2025-01-25T00:00:00"/>
    <x v="2"/>
    <x v="2"/>
    <x v="2"/>
    <x v="0"/>
    <x v="32"/>
    <x v="1"/>
    <x v="3"/>
    <x v="2"/>
  </r>
  <r>
    <x v="545"/>
    <x v="6"/>
    <x v="17"/>
    <n v="74.5"/>
    <x v="506"/>
    <x v="23"/>
    <d v="2025-01-27T00:00:00"/>
    <x v="2"/>
    <x v="1"/>
    <x v="2"/>
    <x v="0"/>
    <x v="38"/>
    <x v="2"/>
    <x v="3"/>
    <x v="2"/>
  </r>
  <r>
    <x v="546"/>
    <x v="7"/>
    <x v="12"/>
    <n v="39.299999999999997"/>
    <x v="507"/>
    <x v="23"/>
    <d v="2025-01-25T00:00:00"/>
    <x v="0"/>
    <x v="2"/>
    <x v="0"/>
    <x v="0"/>
    <x v="19"/>
    <x v="3"/>
    <x v="3"/>
    <x v="0"/>
  </r>
  <r>
    <x v="547"/>
    <x v="9"/>
    <x v="0"/>
    <n v="68.5"/>
    <x v="508"/>
    <x v="23"/>
    <d v="2025-01-27T00:00:00"/>
    <x v="1"/>
    <x v="1"/>
    <x v="2"/>
    <x v="0"/>
    <x v="12"/>
    <x v="2"/>
    <x v="3"/>
    <x v="1"/>
  </r>
  <r>
    <x v="548"/>
    <x v="0"/>
    <x v="2"/>
    <n v="22.5"/>
    <x v="509"/>
    <x v="23"/>
    <d v="2025-01-24T00:00:00"/>
    <x v="2"/>
    <x v="4"/>
    <x v="0"/>
    <x v="0"/>
    <x v="13"/>
    <x v="7"/>
    <x v="3"/>
    <x v="2"/>
  </r>
  <r>
    <x v="549"/>
    <x v="1"/>
    <x v="0"/>
    <n v="48"/>
    <x v="510"/>
    <x v="23"/>
    <d v="2025-01-25T00:00:00"/>
    <x v="3"/>
    <x v="4"/>
    <x v="1"/>
    <x v="0"/>
    <x v="46"/>
    <x v="3"/>
    <x v="3"/>
    <x v="3"/>
  </r>
  <r>
    <x v="550"/>
    <x v="6"/>
    <x v="0"/>
    <n v="94"/>
    <x v="255"/>
    <x v="23"/>
    <d v="2025-01-25T00:00:00"/>
    <x v="1"/>
    <x v="3"/>
    <x v="1"/>
    <x v="0"/>
    <x v="1"/>
    <x v="3"/>
    <x v="3"/>
    <x v="1"/>
  </r>
  <r>
    <x v="551"/>
    <x v="8"/>
    <x v="2"/>
    <n v="21.9"/>
    <x v="511"/>
    <x v="23"/>
    <d v="2025-01-25T00:00:00"/>
    <x v="2"/>
    <x v="0"/>
    <x v="0"/>
    <x v="0"/>
    <x v="44"/>
    <x v="3"/>
    <x v="3"/>
    <x v="2"/>
  </r>
  <r>
    <x v="552"/>
    <x v="6"/>
    <x v="3"/>
    <n v="64.900000000000006"/>
    <x v="512"/>
    <x v="23"/>
    <d v="2025-01-25T00:00:00"/>
    <x v="2"/>
    <x v="0"/>
    <x v="0"/>
    <x v="0"/>
    <x v="3"/>
    <x v="3"/>
    <x v="3"/>
    <x v="2"/>
  </r>
  <r>
    <x v="553"/>
    <x v="12"/>
    <x v="0"/>
    <n v="52.9"/>
    <x v="513"/>
    <x v="23"/>
    <d v="2025-01-24T00:00:00"/>
    <x v="2"/>
    <x v="1"/>
    <x v="1"/>
    <x v="0"/>
    <x v="3"/>
    <x v="7"/>
    <x v="3"/>
    <x v="2"/>
  </r>
  <r>
    <x v="554"/>
    <x v="8"/>
    <x v="2"/>
    <n v="25.5"/>
    <x v="514"/>
    <x v="23"/>
    <d v="2025-01-25T00:00:00"/>
    <x v="2"/>
    <x v="1"/>
    <x v="2"/>
    <x v="0"/>
    <x v="3"/>
    <x v="3"/>
    <x v="3"/>
    <x v="2"/>
  </r>
  <r>
    <x v="555"/>
    <x v="6"/>
    <x v="2"/>
    <n v="51.9"/>
    <x v="515"/>
    <x v="23"/>
    <d v="2025-01-25T00:00:00"/>
    <x v="2"/>
    <x v="3"/>
    <x v="0"/>
    <x v="0"/>
    <x v="3"/>
    <x v="3"/>
    <x v="3"/>
    <x v="2"/>
  </r>
  <r>
    <x v="556"/>
    <x v="5"/>
    <x v="0"/>
    <n v="46.3"/>
    <x v="516"/>
    <x v="23"/>
    <d v="2025-01-27T00:00:00"/>
    <x v="2"/>
    <x v="4"/>
    <x v="0"/>
    <x v="0"/>
    <x v="3"/>
    <x v="2"/>
    <x v="3"/>
    <x v="2"/>
  </r>
  <r>
    <x v="557"/>
    <x v="6"/>
    <x v="1"/>
    <n v="68.2"/>
    <x v="517"/>
    <x v="23"/>
    <d v="2025-01-26T00:00:00"/>
    <x v="2"/>
    <x v="3"/>
    <x v="0"/>
    <x v="0"/>
    <x v="3"/>
    <x v="1"/>
    <x v="3"/>
    <x v="2"/>
  </r>
  <r>
    <x v="558"/>
    <x v="1"/>
    <x v="0"/>
    <n v="40.299999999999997"/>
    <x v="518"/>
    <x v="23"/>
    <d v="2025-01-25T00:00:00"/>
    <x v="1"/>
    <x v="0"/>
    <x v="1"/>
    <x v="0"/>
    <x v="3"/>
    <x v="3"/>
    <x v="3"/>
    <x v="1"/>
  </r>
  <r>
    <x v="559"/>
    <x v="2"/>
    <x v="2"/>
    <n v="91.3"/>
    <x v="54"/>
    <x v="23"/>
    <d v="2025-01-29T00:00:00"/>
    <x v="1"/>
    <x v="0"/>
    <x v="2"/>
    <x v="0"/>
    <x v="6"/>
    <x v="0"/>
    <x v="3"/>
    <x v="1"/>
  </r>
  <r>
    <x v="560"/>
    <x v="0"/>
    <x v="2"/>
    <n v="11.9"/>
    <x v="519"/>
    <x v="23"/>
    <d v="2025-01-25T00:00:00"/>
    <x v="2"/>
    <x v="0"/>
    <x v="1"/>
    <x v="0"/>
    <x v="6"/>
    <x v="3"/>
    <x v="3"/>
    <x v="2"/>
  </r>
  <r>
    <x v="561"/>
    <x v="2"/>
    <x v="1"/>
    <n v="63.5"/>
    <x v="520"/>
    <x v="23"/>
    <d v="2025-01-26T00:00:00"/>
    <x v="1"/>
    <x v="1"/>
    <x v="0"/>
    <x v="0"/>
    <x v="6"/>
    <x v="1"/>
    <x v="3"/>
    <x v="1"/>
  </r>
  <r>
    <x v="562"/>
    <x v="4"/>
    <x v="1"/>
    <n v="27.1"/>
    <x v="521"/>
    <x v="23"/>
    <d v="2025-01-27T00:00:00"/>
    <x v="1"/>
    <x v="2"/>
    <x v="2"/>
    <x v="0"/>
    <x v="6"/>
    <x v="2"/>
    <x v="3"/>
    <x v="1"/>
  </r>
  <r>
    <x v="563"/>
    <x v="1"/>
    <x v="1"/>
    <n v="82.1"/>
    <x v="522"/>
    <x v="24"/>
    <d v="2025-01-28T00:00:00"/>
    <x v="1"/>
    <x v="1"/>
    <x v="1"/>
    <x v="0"/>
    <x v="7"/>
    <x v="2"/>
    <x v="3"/>
    <x v="1"/>
  </r>
  <r>
    <x v="564"/>
    <x v="3"/>
    <x v="9"/>
    <n v="42.9"/>
    <x v="523"/>
    <x v="24"/>
    <d v="2025-01-27T00:00:00"/>
    <x v="2"/>
    <x v="1"/>
    <x v="0"/>
    <x v="0"/>
    <x v="8"/>
    <x v="1"/>
    <x v="3"/>
    <x v="2"/>
  </r>
  <r>
    <x v="565"/>
    <x v="8"/>
    <x v="5"/>
    <n v="37.9"/>
    <x v="524"/>
    <x v="24"/>
    <d v="2025-02-01T00:00:00"/>
    <x v="1"/>
    <x v="0"/>
    <x v="0"/>
    <x v="0"/>
    <x v="8"/>
    <x v="6"/>
    <x v="3"/>
    <x v="1"/>
  </r>
  <r>
    <x v="566"/>
    <x v="0"/>
    <x v="0"/>
    <n v="22.4"/>
    <x v="525"/>
    <x v="24"/>
    <d v="2025-01-26T00:00:00"/>
    <x v="2"/>
    <x v="0"/>
    <x v="1"/>
    <x v="0"/>
    <x v="17"/>
    <x v="3"/>
    <x v="3"/>
    <x v="2"/>
  </r>
  <r>
    <x v="567"/>
    <x v="2"/>
    <x v="15"/>
    <n v="79.900000000000006"/>
    <x v="526"/>
    <x v="24"/>
    <d v="2025-02-07T00:00:00"/>
    <x v="2"/>
    <x v="3"/>
    <x v="1"/>
    <x v="0"/>
    <x v="11"/>
    <x v="10"/>
    <x v="3"/>
    <x v="2"/>
  </r>
  <r>
    <x v="568"/>
    <x v="1"/>
    <x v="0"/>
    <n v="70.599999999999994"/>
    <x v="527"/>
    <x v="24"/>
    <d v="2025-01-28T00:00:00"/>
    <x v="2"/>
    <x v="0"/>
    <x v="1"/>
    <x v="0"/>
    <x v="11"/>
    <x v="2"/>
    <x v="3"/>
    <x v="2"/>
  </r>
  <r>
    <x v="569"/>
    <x v="6"/>
    <x v="0"/>
    <n v="49.5"/>
    <x v="528"/>
    <x v="24"/>
    <d v="2025-01-27T00:00:00"/>
    <x v="1"/>
    <x v="0"/>
    <x v="0"/>
    <x v="0"/>
    <x v="13"/>
    <x v="1"/>
    <x v="3"/>
    <x v="1"/>
  </r>
  <r>
    <x v="570"/>
    <x v="2"/>
    <x v="1"/>
    <n v="96.6"/>
    <x v="529"/>
    <x v="24"/>
    <d v="2025-01-27T00:00:00"/>
    <x v="1"/>
    <x v="0"/>
    <x v="0"/>
    <x v="0"/>
    <x v="21"/>
    <x v="1"/>
    <x v="3"/>
    <x v="1"/>
  </r>
  <r>
    <x v="571"/>
    <x v="6"/>
    <x v="1"/>
    <n v="52.8"/>
    <x v="142"/>
    <x v="24"/>
    <d v="2025-01-26T00:00:00"/>
    <x v="2"/>
    <x v="1"/>
    <x v="1"/>
    <x v="0"/>
    <x v="21"/>
    <x v="3"/>
    <x v="3"/>
    <x v="2"/>
  </r>
  <r>
    <x v="572"/>
    <x v="2"/>
    <x v="0"/>
    <n v="101.7"/>
    <x v="530"/>
    <x v="24"/>
    <d v="2025-01-26T00:00:00"/>
    <x v="1"/>
    <x v="0"/>
    <x v="0"/>
    <x v="0"/>
    <x v="1"/>
    <x v="3"/>
    <x v="3"/>
    <x v="1"/>
  </r>
  <r>
    <x v="573"/>
    <x v="4"/>
    <x v="9"/>
    <n v="26.9"/>
    <x v="531"/>
    <x v="24"/>
    <d v="2025-01-30T00:00:00"/>
    <x v="2"/>
    <x v="1"/>
    <x v="1"/>
    <x v="0"/>
    <x v="22"/>
    <x v="0"/>
    <x v="3"/>
    <x v="2"/>
  </r>
  <r>
    <x v="574"/>
    <x v="2"/>
    <x v="12"/>
    <n v="211"/>
    <x v="532"/>
    <x v="24"/>
    <d v="2025-01-25T00:00:00"/>
    <x v="2"/>
    <x v="1"/>
    <x v="1"/>
    <x v="0"/>
    <x v="3"/>
    <x v="7"/>
    <x v="3"/>
    <x v="2"/>
  </r>
  <r>
    <x v="575"/>
    <x v="0"/>
    <x v="12"/>
    <n v="21.1"/>
    <x v="533"/>
    <x v="24"/>
    <d v="2025-01-28T00:00:00"/>
    <x v="1"/>
    <x v="4"/>
    <x v="0"/>
    <x v="0"/>
    <x v="3"/>
    <x v="2"/>
    <x v="3"/>
    <x v="1"/>
  </r>
  <r>
    <x v="576"/>
    <x v="10"/>
    <x v="0"/>
    <n v="26.6"/>
    <x v="534"/>
    <x v="24"/>
    <d v="2025-01-27T00:00:00"/>
    <x v="1"/>
    <x v="0"/>
    <x v="4"/>
    <x v="0"/>
    <x v="3"/>
    <x v="1"/>
    <x v="3"/>
    <x v="1"/>
  </r>
  <r>
    <x v="577"/>
    <x v="12"/>
    <x v="12"/>
    <n v="51.2"/>
    <x v="403"/>
    <x v="24"/>
    <d v="2025-01-26T00:00:00"/>
    <x v="2"/>
    <x v="3"/>
    <x v="0"/>
    <x v="0"/>
    <x v="47"/>
    <x v="3"/>
    <x v="3"/>
    <x v="2"/>
  </r>
  <r>
    <x v="578"/>
    <x v="0"/>
    <x v="9"/>
    <n v="10.6"/>
    <x v="535"/>
    <x v="24"/>
    <d v="2025-01-29T00:00:00"/>
    <x v="2"/>
    <x v="0"/>
    <x v="0"/>
    <x v="0"/>
    <x v="8"/>
    <x v="5"/>
    <x v="3"/>
    <x v="2"/>
  </r>
  <r>
    <x v="579"/>
    <x v="6"/>
    <x v="2"/>
    <n v="43.4"/>
    <x v="33"/>
    <x v="24"/>
    <d v="2025-01-28T00:00:00"/>
    <x v="2"/>
    <x v="4"/>
    <x v="0"/>
    <x v="0"/>
    <x v="8"/>
    <x v="2"/>
    <x v="3"/>
    <x v="2"/>
  </r>
  <r>
    <x v="580"/>
    <x v="12"/>
    <x v="0"/>
    <n v="80"/>
    <x v="479"/>
    <x v="24"/>
    <d v="2025-01-25T00:00:00"/>
    <x v="2"/>
    <x v="0"/>
    <x v="2"/>
    <x v="0"/>
    <x v="8"/>
    <x v="7"/>
    <x v="3"/>
    <x v="2"/>
  </r>
  <r>
    <x v="581"/>
    <x v="10"/>
    <x v="12"/>
    <n v="64.7"/>
    <x v="536"/>
    <x v="24"/>
    <d v="2025-01-27T00:00:00"/>
    <x v="2"/>
    <x v="1"/>
    <x v="4"/>
    <x v="0"/>
    <x v="8"/>
    <x v="1"/>
    <x v="3"/>
    <x v="2"/>
  </r>
  <r>
    <x v="582"/>
    <x v="8"/>
    <x v="5"/>
    <n v="26.3"/>
    <x v="537"/>
    <x v="25"/>
    <d v="2025-01-26T00:00:00"/>
    <x v="2"/>
    <x v="4"/>
    <x v="1"/>
    <x v="0"/>
    <x v="26"/>
    <x v="7"/>
    <x v="4"/>
    <x v="2"/>
  </r>
  <r>
    <x v="583"/>
    <x v="10"/>
    <x v="0"/>
    <n v="28.5"/>
    <x v="425"/>
    <x v="25"/>
    <d v="2025-01-26T00:00:00"/>
    <x v="1"/>
    <x v="0"/>
    <x v="1"/>
    <x v="0"/>
    <x v="9"/>
    <x v="7"/>
    <x v="4"/>
    <x v="1"/>
  </r>
  <r>
    <x v="584"/>
    <x v="17"/>
    <x v="0"/>
    <n v="47.8"/>
    <x v="538"/>
    <x v="25"/>
    <d v="2025-01-28T00:00:00"/>
    <x v="2"/>
    <x v="0"/>
    <x v="1"/>
    <x v="0"/>
    <x v="9"/>
    <x v="1"/>
    <x v="4"/>
    <x v="2"/>
  </r>
  <r>
    <x v="585"/>
    <x v="10"/>
    <x v="2"/>
    <n v="42.8"/>
    <x v="539"/>
    <x v="25"/>
    <d v="2025-01-29T00:00:00"/>
    <x v="2"/>
    <x v="4"/>
    <x v="1"/>
    <x v="0"/>
    <x v="11"/>
    <x v="2"/>
    <x v="4"/>
    <x v="2"/>
  </r>
  <r>
    <x v="586"/>
    <x v="6"/>
    <x v="9"/>
    <n v="46.8"/>
    <x v="540"/>
    <x v="25"/>
    <d v="2025-01-31T00:00:00"/>
    <x v="2"/>
    <x v="1"/>
    <x v="2"/>
    <x v="0"/>
    <x v="11"/>
    <x v="0"/>
    <x v="4"/>
    <x v="2"/>
  </r>
  <r>
    <x v="587"/>
    <x v="1"/>
    <x v="7"/>
    <n v="64.099999999999994"/>
    <x v="541"/>
    <x v="25"/>
    <d v="2025-01-27T00:00:00"/>
    <x v="1"/>
    <x v="1"/>
    <x v="0"/>
    <x v="0"/>
    <x v="11"/>
    <x v="3"/>
    <x v="4"/>
    <x v="1"/>
  </r>
  <r>
    <x v="588"/>
    <x v="2"/>
    <x v="0"/>
    <n v="89.1"/>
    <x v="542"/>
    <x v="25"/>
    <d v="2025-01-27T00:00:00"/>
    <x v="2"/>
    <x v="0"/>
    <x v="1"/>
    <x v="0"/>
    <x v="20"/>
    <x v="3"/>
    <x v="4"/>
    <x v="2"/>
  </r>
  <r>
    <x v="589"/>
    <x v="2"/>
    <x v="2"/>
    <n v="83.1"/>
    <x v="543"/>
    <x v="25"/>
    <d v="2025-01-27T00:00:00"/>
    <x v="2"/>
    <x v="2"/>
    <x v="1"/>
    <x v="0"/>
    <x v="13"/>
    <x v="3"/>
    <x v="4"/>
    <x v="2"/>
  </r>
  <r>
    <x v="590"/>
    <x v="8"/>
    <x v="2"/>
    <n v="40.9"/>
    <x v="544"/>
    <x v="25"/>
    <d v="2025-01-27T00:00:00"/>
    <x v="1"/>
    <x v="0"/>
    <x v="0"/>
    <x v="0"/>
    <x v="1"/>
    <x v="3"/>
    <x v="4"/>
    <x v="1"/>
  </r>
  <r>
    <x v="591"/>
    <x v="2"/>
    <x v="1"/>
    <n v="125.7"/>
    <x v="545"/>
    <x v="25"/>
    <d v="2025-01-27T00:00:00"/>
    <x v="2"/>
    <x v="3"/>
    <x v="0"/>
    <x v="0"/>
    <x v="2"/>
    <x v="3"/>
    <x v="4"/>
    <x v="2"/>
  </r>
  <r>
    <x v="592"/>
    <x v="3"/>
    <x v="1"/>
    <n v="30.9"/>
    <x v="546"/>
    <x v="25"/>
    <d v="2025-01-26T00:00:00"/>
    <x v="2"/>
    <x v="2"/>
    <x v="2"/>
    <x v="0"/>
    <x v="22"/>
    <x v="7"/>
    <x v="4"/>
    <x v="2"/>
  </r>
  <r>
    <x v="593"/>
    <x v="8"/>
    <x v="1"/>
    <n v="18.3"/>
    <x v="547"/>
    <x v="25"/>
    <d v="2025-01-27T00:00:00"/>
    <x v="2"/>
    <x v="1"/>
    <x v="0"/>
    <x v="0"/>
    <x v="3"/>
    <x v="3"/>
    <x v="4"/>
    <x v="2"/>
  </r>
  <r>
    <x v="594"/>
    <x v="4"/>
    <x v="1"/>
    <n v="56.5"/>
    <x v="548"/>
    <x v="25"/>
    <d v="2025-01-30T00:00:00"/>
    <x v="1"/>
    <x v="2"/>
    <x v="2"/>
    <x v="0"/>
    <x v="3"/>
    <x v="5"/>
    <x v="4"/>
    <x v="1"/>
  </r>
  <r>
    <x v="595"/>
    <x v="10"/>
    <x v="3"/>
    <n v="29.9"/>
    <x v="549"/>
    <x v="25"/>
    <d v="2025-01-28T00:00:00"/>
    <x v="1"/>
    <x v="4"/>
    <x v="2"/>
    <x v="0"/>
    <x v="3"/>
    <x v="1"/>
    <x v="4"/>
    <x v="1"/>
  </r>
  <r>
    <x v="596"/>
    <x v="5"/>
    <x v="1"/>
    <n v="50.4"/>
    <x v="90"/>
    <x v="25"/>
    <d v="2025-01-27T00:00:00"/>
    <x v="2"/>
    <x v="2"/>
    <x v="0"/>
    <x v="0"/>
    <x v="3"/>
    <x v="3"/>
    <x v="4"/>
    <x v="2"/>
  </r>
  <r>
    <x v="597"/>
    <x v="2"/>
    <x v="0"/>
    <n v="85.8"/>
    <x v="550"/>
    <x v="25"/>
    <d v="2025-01-26T00:00:00"/>
    <x v="2"/>
    <x v="2"/>
    <x v="2"/>
    <x v="0"/>
    <x v="3"/>
    <x v="7"/>
    <x v="4"/>
    <x v="2"/>
  </r>
  <r>
    <x v="598"/>
    <x v="4"/>
    <x v="27"/>
    <n v="66.599999999999994"/>
    <x v="551"/>
    <x v="25"/>
    <d v="2025-01-28T00:00:00"/>
    <x v="1"/>
    <x v="1"/>
    <x v="0"/>
    <x v="0"/>
    <x v="3"/>
    <x v="1"/>
    <x v="4"/>
    <x v="1"/>
  </r>
  <r>
    <x v="599"/>
    <x v="6"/>
    <x v="12"/>
    <n v="70.3"/>
    <x v="552"/>
    <x v="25"/>
    <d v="2025-01-27T00:00:00"/>
    <x v="2"/>
    <x v="0"/>
    <x v="1"/>
    <x v="0"/>
    <x v="3"/>
    <x v="3"/>
    <x v="4"/>
    <x v="2"/>
  </r>
  <r>
    <x v="600"/>
    <x v="8"/>
    <x v="12"/>
    <n v="31"/>
    <x v="553"/>
    <x v="25"/>
    <d v="2025-01-29T00:00:00"/>
    <x v="1"/>
    <x v="0"/>
    <x v="2"/>
    <x v="0"/>
    <x v="3"/>
    <x v="2"/>
    <x v="4"/>
    <x v="1"/>
  </r>
  <r>
    <x v="601"/>
    <x v="7"/>
    <x v="13"/>
    <n v="81.599999999999994"/>
    <x v="554"/>
    <x v="25"/>
    <d v="2025-01-27T00:00:00"/>
    <x v="2"/>
    <x v="1"/>
    <x v="1"/>
    <x v="0"/>
    <x v="37"/>
    <x v="3"/>
    <x v="4"/>
    <x v="2"/>
  </r>
  <r>
    <x v="602"/>
    <x v="1"/>
    <x v="30"/>
    <n v="58.3"/>
    <x v="555"/>
    <x v="25"/>
    <d v="2025-01-27T00:00:00"/>
    <x v="2"/>
    <x v="0"/>
    <x v="0"/>
    <x v="0"/>
    <x v="16"/>
    <x v="3"/>
    <x v="4"/>
    <x v="2"/>
  </r>
  <r>
    <x v="603"/>
    <x v="1"/>
    <x v="12"/>
    <n v="35.1"/>
    <x v="381"/>
    <x v="25"/>
    <d v="2025-01-28T00:00:00"/>
    <x v="1"/>
    <x v="0"/>
    <x v="2"/>
    <x v="0"/>
    <x v="8"/>
    <x v="1"/>
    <x v="4"/>
    <x v="1"/>
  </r>
  <r>
    <x v="604"/>
    <x v="2"/>
    <x v="0"/>
    <n v="80.2"/>
    <x v="556"/>
    <x v="25"/>
    <d v="2025-01-27T00:00:00"/>
    <x v="1"/>
    <x v="3"/>
    <x v="2"/>
    <x v="0"/>
    <x v="8"/>
    <x v="3"/>
    <x v="4"/>
    <x v="1"/>
  </r>
  <r>
    <x v="605"/>
    <x v="14"/>
    <x v="2"/>
    <n v="39.200000000000003"/>
    <x v="557"/>
    <x v="25"/>
    <d v="2025-01-28T00:00:00"/>
    <x v="2"/>
    <x v="1"/>
    <x v="0"/>
    <x v="0"/>
    <x v="9"/>
    <x v="1"/>
    <x v="4"/>
    <x v="2"/>
  </r>
  <r>
    <x v="606"/>
    <x v="0"/>
    <x v="1"/>
    <n v="15.4"/>
    <x v="558"/>
    <x v="25"/>
    <d v="2025-01-26T00:00:00"/>
    <x v="2"/>
    <x v="3"/>
    <x v="0"/>
    <x v="0"/>
    <x v="48"/>
    <x v="7"/>
    <x v="4"/>
    <x v="2"/>
  </r>
  <r>
    <x v="607"/>
    <x v="3"/>
    <x v="2"/>
    <n v="65.400000000000006"/>
    <x v="338"/>
    <x v="25"/>
    <d v="2025-01-29T00:00:00"/>
    <x v="1"/>
    <x v="3"/>
    <x v="0"/>
    <x v="0"/>
    <x v="18"/>
    <x v="2"/>
    <x v="4"/>
    <x v="1"/>
  </r>
  <r>
    <x v="608"/>
    <x v="1"/>
    <x v="8"/>
    <n v="63.2"/>
    <x v="559"/>
    <x v="25"/>
    <d v="2025-01-28T00:00:00"/>
    <x v="2"/>
    <x v="1"/>
    <x v="0"/>
    <x v="0"/>
    <x v="19"/>
    <x v="1"/>
    <x v="4"/>
    <x v="2"/>
  </r>
  <r>
    <x v="609"/>
    <x v="1"/>
    <x v="13"/>
    <n v="35.700000000000003"/>
    <x v="560"/>
    <x v="25"/>
    <d v="2025-01-30T00:00:00"/>
    <x v="2"/>
    <x v="4"/>
    <x v="1"/>
    <x v="0"/>
    <x v="19"/>
    <x v="5"/>
    <x v="4"/>
    <x v="2"/>
  </r>
  <r>
    <x v="610"/>
    <x v="0"/>
    <x v="28"/>
    <n v="26.2"/>
    <x v="561"/>
    <x v="25"/>
    <d v="2025-01-27T00:00:00"/>
    <x v="2"/>
    <x v="3"/>
    <x v="0"/>
    <x v="0"/>
    <x v="21"/>
    <x v="3"/>
    <x v="4"/>
    <x v="2"/>
  </r>
  <r>
    <x v="611"/>
    <x v="7"/>
    <x v="1"/>
    <n v="31"/>
    <x v="85"/>
    <x v="25"/>
    <d v="2025-01-27T00:00:00"/>
    <x v="2"/>
    <x v="0"/>
    <x v="2"/>
    <x v="0"/>
    <x v="1"/>
    <x v="3"/>
    <x v="4"/>
    <x v="2"/>
  </r>
  <r>
    <x v="612"/>
    <x v="8"/>
    <x v="12"/>
    <n v="37.700000000000003"/>
    <x v="562"/>
    <x v="25"/>
    <d v="2025-01-27T00:00:00"/>
    <x v="2"/>
    <x v="1"/>
    <x v="0"/>
    <x v="0"/>
    <x v="22"/>
    <x v="3"/>
    <x v="4"/>
    <x v="2"/>
  </r>
  <r>
    <x v="613"/>
    <x v="10"/>
    <x v="33"/>
    <n v="43.6"/>
    <x v="563"/>
    <x v="25"/>
    <d v="2025-01-28T00:00:00"/>
    <x v="2"/>
    <x v="4"/>
    <x v="1"/>
    <x v="0"/>
    <x v="3"/>
    <x v="1"/>
    <x v="4"/>
    <x v="2"/>
  </r>
  <r>
    <x v="614"/>
    <x v="9"/>
    <x v="12"/>
    <n v="26.5"/>
    <x v="101"/>
    <x v="25"/>
    <d v="2025-01-28T00:00:00"/>
    <x v="1"/>
    <x v="0"/>
    <x v="4"/>
    <x v="0"/>
    <x v="3"/>
    <x v="1"/>
    <x v="4"/>
    <x v="1"/>
  </r>
  <r>
    <x v="615"/>
    <x v="0"/>
    <x v="1"/>
    <n v="34.6"/>
    <x v="564"/>
    <x v="25"/>
    <d v="2025-01-27T00:00:00"/>
    <x v="1"/>
    <x v="4"/>
    <x v="1"/>
    <x v="0"/>
    <x v="3"/>
    <x v="3"/>
    <x v="4"/>
    <x v="1"/>
  </r>
  <r>
    <x v="616"/>
    <x v="8"/>
    <x v="1"/>
    <n v="58.2"/>
    <x v="565"/>
    <x v="25"/>
    <d v="2025-01-27T00:00:00"/>
    <x v="1"/>
    <x v="2"/>
    <x v="2"/>
    <x v="0"/>
    <x v="3"/>
    <x v="3"/>
    <x v="4"/>
    <x v="1"/>
  </r>
  <r>
    <x v="617"/>
    <x v="7"/>
    <x v="0"/>
    <n v="30.2"/>
    <x v="242"/>
    <x v="26"/>
    <d v="2025-01-28T00:00:00"/>
    <x v="2"/>
    <x v="2"/>
    <x v="1"/>
    <x v="0"/>
    <x v="3"/>
    <x v="3"/>
    <x v="4"/>
    <x v="2"/>
  </r>
  <r>
    <x v="618"/>
    <x v="1"/>
    <x v="7"/>
    <n v="53.2"/>
    <x v="566"/>
    <x v="26"/>
    <d v="2025-01-28T00:00:00"/>
    <x v="1"/>
    <x v="0"/>
    <x v="2"/>
    <x v="0"/>
    <x v="5"/>
    <x v="3"/>
    <x v="4"/>
    <x v="1"/>
  </r>
  <r>
    <x v="619"/>
    <x v="12"/>
    <x v="13"/>
    <n v="51.1"/>
    <x v="567"/>
    <x v="26"/>
    <d v="2025-01-27T00:00:00"/>
    <x v="1"/>
    <x v="1"/>
    <x v="2"/>
    <x v="0"/>
    <x v="5"/>
    <x v="7"/>
    <x v="4"/>
    <x v="1"/>
  </r>
  <r>
    <x v="620"/>
    <x v="1"/>
    <x v="0"/>
    <n v="105.4"/>
    <x v="568"/>
    <x v="26"/>
    <d v="2025-01-31T00:00:00"/>
    <x v="2"/>
    <x v="1"/>
    <x v="2"/>
    <x v="0"/>
    <x v="23"/>
    <x v="5"/>
    <x v="4"/>
    <x v="2"/>
  </r>
  <r>
    <x v="621"/>
    <x v="7"/>
    <x v="0"/>
    <n v="57.7"/>
    <x v="569"/>
    <x v="26"/>
    <d v="2025-01-27T00:00:00"/>
    <x v="1"/>
    <x v="0"/>
    <x v="4"/>
    <x v="0"/>
    <x v="8"/>
    <x v="7"/>
    <x v="4"/>
    <x v="1"/>
  </r>
  <r>
    <x v="622"/>
    <x v="15"/>
    <x v="1"/>
    <n v="72.400000000000006"/>
    <x v="353"/>
    <x v="26"/>
    <d v="2025-02-01T00:00:00"/>
    <x v="2"/>
    <x v="0"/>
    <x v="0"/>
    <x v="0"/>
    <x v="17"/>
    <x v="0"/>
    <x v="4"/>
    <x v="2"/>
  </r>
  <r>
    <x v="623"/>
    <x v="6"/>
    <x v="1"/>
    <n v="62.5"/>
    <x v="570"/>
    <x v="26"/>
    <d v="2025-01-28T00:00:00"/>
    <x v="0"/>
    <x v="0"/>
    <x v="2"/>
    <x v="0"/>
    <x v="11"/>
    <x v="3"/>
    <x v="4"/>
    <x v="0"/>
  </r>
  <r>
    <x v="624"/>
    <x v="0"/>
    <x v="32"/>
    <n v="11.6"/>
    <x v="281"/>
    <x v="26"/>
    <d v="2025-01-29T00:00:00"/>
    <x v="2"/>
    <x v="3"/>
    <x v="2"/>
    <x v="0"/>
    <x v="18"/>
    <x v="1"/>
    <x v="4"/>
    <x v="2"/>
  </r>
  <r>
    <x v="625"/>
    <x v="10"/>
    <x v="7"/>
    <n v="39.6"/>
    <x v="501"/>
    <x v="26"/>
    <d v="2025-01-29T00:00:00"/>
    <x v="2"/>
    <x v="2"/>
    <x v="2"/>
    <x v="0"/>
    <x v="18"/>
    <x v="1"/>
    <x v="4"/>
    <x v="2"/>
  </r>
  <r>
    <x v="626"/>
    <x v="8"/>
    <x v="1"/>
    <n v="40.1"/>
    <x v="556"/>
    <x v="26"/>
    <d v="2025-01-28T00:00:00"/>
    <x v="2"/>
    <x v="2"/>
    <x v="0"/>
    <x v="0"/>
    <x v="18"/>
    <x v="3"/>
    <x v="4"/>
    <x v="2"/>
  </r>
  <r>
    <x v="627"/>
    <x v="8"/>
    <x v="2"/>
    <n v="18.600000000000001"/>
    <x v="571"/>
    <x v="26"/>
    <d v="2025-01-28T00:00:00"/>
    <x v="2"/>
    <x v="2"/>
    <x v="0"/>
    <x v="0"/>
    <x v="21"/>
    <x v="3"/>
    <x v="4"/>
    <x v="2"/>
  </r>
  <r>
    <x v="628"/>
    <x v="4"/>
    <x v="0"/>
    <n v="58.8"/>
    <x v="572"/>
    <x v="26"/>
    <d v="2025-01-29T00:00:00"/>
    <x v="2"/>
    <x v="0"/>
    <x v="1"/>
    <x v="0"/>
    <x v="21"/>
    <x v="1"/>
    <x v="4"/>
    <x v="2"/>
  </r>
  <r>
    <x v="629"/>
    <x v="8"/>
    <x v="1"/>
    <n v="22.1"/>
    <x v="573"/>
    <x v="26"/>
    <d v="2025-01-30T00:00:00"/>
    <x v="1"/>
    <x v="1"/>
    <x v="2"/>
    <x v="0"/>
    <x v="21"/>
    <x v="2"/>
    <x v="4"/>
    <x v="1"/>
  </r>
  <r>
    <x v="630"/>
    <x v="2"/>
    <x v="0"/>
    <n v="114.9"/>
    <x v="574"/>
    <x v="27"/>
    <d v="2025-01-29T00:00:00"/>
    <x v="2"/>
    <x v="1"/>
    <x v="1"/>
    <x v="0"/>
    <x v="22"/>
    <x v="3"/>
    <x v="4"/>
    <x v="2"/>
  </r>
  <r>
    <x v="631"/>
    <x v="9"/>
    <x v="9"/>
    <n v="75.8"/>
    <x v="575"/>
    <x v="27"/>
    <d v="2025-01-29T00:00:00"/>
    <x v="1"/>
    <x v="0"/>
    <x v="2"/>
    <x v="0"/>
    <x v="3"/>
    <x v="3"/>
    <x v="4"/>
    <x v="1"/>
  </r>
  <r>
    <x v="632"/>
    <x v="14"/>
    <x v="9"/>
    <n v="20.6"/>
    <x v="576"/>
    <x v="27"/>
    <d v="2025-01-29T00:00:00"/>
    <x v="1"/>
    <x v="2"/>
    <x v="2"/>
    <x v="0"/>
    <x v="3"/>
    <x v="3"/>
    <x v="4"/>
    <x v="1"/>
  </r>
  <r>
    <x v="633"/>
    <x v="17"/>
    <x v="2"/>
    <n v="67.900000000000006"/>
    <x v="577"/>
    <x v="27"/>
    <d v="2025-01-29T00:00:00"/>
    <x v="2"/>
    <x v="1"/>
    <x v="1"/>
    <x v="0"/>
    <x v="3"/>
    <x v="3"/>
    <x v="4"/>
    <x v="2"/>
  </r>
  <r>
    <x v="634"/>
    <x v="0"/>
    <x v="9"/>
    <n v="27"/>
    <x v="340"/>
    <x v="27"/>
    <d v="2025-02-04T00:00:00"/>
    <x v="2"/>
    <x v="0"/>
    <x v="2"/>
    <x v="0"/>
    <x v="3"/>
    <x v="6"/>
    <x v="4"/>
    <x v="2"/>
  </r>
  <r>
    <x v="635"/>
    <x v="13"/>
    <x v="0"/>
    <n v="50.6"/>
    <x v="578"/>
    <x v="27"/>
    <d v="2025-01-28T00:00:00"/>
    <x v="1"/>
    <x v="0"/>
    <x v="1"/>
    <x v="0"/>
    <x v="3"/>
    <x v="7"/>
    <x v="4"/>
    <x v="1"/>
  </r>
  <r>
    <x v="636"/>
    <x v="4"/>
    <x v="9"/>
    <n v="22.1"/>
    <x v="579"/>
    <x v="27"/>
    <d v="2025-02-02T00:00:00"/>
    <x v="1"/>
    <x v="0"/>
    <x v="0"/>
    <x v="0"/>
    <x v="3"/>
    <x v="0"/>
    <x v="4"/>
    <x v="1"/>
  </r>
  <r>
    <x v="637"/>
    <x v="8"/>
    <x v="2"/>
    <n v="42.9"/>
    <x v="580"/>
    <x v="27"/>
    <d v="2025-01-30T00:00:00"/>
    <x v="2"/>
    <x v="0"/>
    <x v="0"/>
    <x v="0"/>
    <x v="3"/>
    <x v="1"/>
    <x v="4"/>
    <x v="2"/>
  </r>
  <r>
    <x v="638"/>
    <x v="1"/>
    <x v="5"/>
    <n v="62.4"/>
    <x v="581"/>
    <x v="27"/>
    <d v="2025-01-30T00:00:00"/>
    <x v="2"/>
    <x v="2"/>
    <x v="0"/>
    <x v="0"/>
    <x v="3"/>
    <x v="1"/>
    <x v="4"/>
    <x v="2"/>
  </r>
  <r>
    <x v="639"/>
    <x v="13"/>
    <x v="11"/>
    <n v="36.4"/>
    <x v="582"/>
    <x v="27"/>
    <d v="2025-01-30T00:00:00"/>
    <x v="2"/>
    <x v="0"/>
    <x v="2"/>
    <x v="0"/>
    <x v="3"/>
    <x v="1"/>
    <x v="4"/>
    <x v="2"/>
  </r>
  <r>
    <x v="640"/>
    <x v="0"/>
    <x v="1"/>
    <n v="22.5"/>
    <x v="583"/>
    <x v="27"/>
    <d v="2025-01-31T00:00:00"/>
    <x v="1"/>
    <x v="0"/>
    <x v="0"/>
    <x v="0"/>
    <x v="3"/>
    <x v="2"/>
    <x v="4"/>
    <x v="1"/>
  </r>
  <r>
    <x v="641"/>
    <x v="6"/>
    <x v="12"/>
    <n v="70.8"/>
    <x v="584"/>
    <x v="27"/>
    <d v="2025-01-30T00:00:00"/>
    <x v="2"/>
    <x v="4"/>
    <x v="0"/>
    <x v="0"/>
    <x v="3"/>
    <x v="1"/>
    <x v="4"/>
    <x v="2"/>
  </r>
  <r>
    <x v="642"/>
    <x v="6"/>
    <x v="9"/>
    <n v="56.6"/>
    <x v="585"/>
    <x v="27"/>
    <d v="2025-01-30T00:00:00"/>
    <x v="1"/>
    <x v="0"/>
    <x v="1"/>
    <x v="0"/>
    <x v="4"/>
    <x v="1"/>
    <x v="4"/>
    <x v="1"/>
  </r>
  <r>
    <x v="643"/>
    <x v="6"/>
    <x v="1"/>
    <n v="47.9"/>
    <x v="586"/>
    <x v="27"/>
    <d v="2025-01-29T00:00:00"/>
    <x v="2"/>
    <x v="0"/>
    <x v="0"/>
    <x v="0"/>
    <x v="6"/>
    <x v="3"/>
    <x v="4"/>
    <x v="2"/>
  </r>
  <r>
    <x v="644"/>
    <x v="6"/>
    <x v="8"/>
    <n v="78.400000000000006"/>
    <x v="587"/>
    <x v="27"/>
    <d v="2025-01-30T00:00:00"/>
    <x v="2"/>
    <x v="1"/>
    <x v="0"/>
    <x v="0"/>
    <x v="6"/>
    <x v="1"/>
    <x v="4"/>
    <x v="2"/>
  </r>
  <r>
    <x v="645"/>
    <x v="2"/>
    <x v="21"/>
    <n v="122.1"/>
    <x v="588"/>
    <x v="27"/>
    <d v="2025-02-02T00:00:00"/>
    <x v="2"/>
    <x v="0"/>
    <x v="2"/>
    <x v="0"/>
    <x v="6"/>
    <x v="0"/>
    <x v="4"/>
    <x v="2"/>
  </r>
  <r>
    <x v="646"/>
    <x v="2"/>
    <x v="1"/>
    <n v="83.7"/>
    <x v="589"/>
    <x v="28"/>
    <d v="2025-01-29T00:00:00"/>
    <x v="0"/>
    <x v="1"/>
    <x v="2"/>
    <x v="0"/>
    <x v="7"/>
    <x v="7"/>
    <x v="4"/>
    <x v="0"/>
  </r>
  <r>
    <x v="647"/>
    <x v="3"/>
    <x v="12"/>
    <n v="97.9"/>
    <x v="590"/>
    <x v="28"/>
    <d v="2025-02-02T00:00:00"/>
    <x v="2"/>
    <x v="3"/>
    <x v="2"/>
    <x v="0"/>
    <x v="7"/>
    <x v="5"/>
    <x v="4"/>
    <x v="2"/>
  </r>
  <r>
    <x v="648"/>
    <x v="14"/>
    <x v="0"/>
    <n v="15"/>
    <x v="591"/>
    <x v="28"/>
    <d v="2025-02-03T00:00:00"/>
    <x v="2"/>
    <x v="3"/>
    <x v="0"/>
    <x v="0"/>
    <x v="8"/>
    <x v="0"/>
    <x v="4"/>
    <x v="2"/>
  </r>
  <r>
    <x v="649"/>
    <x v="12"/>
    <x v="2"/>
    <n v="94.6"/>
    <x v="592"/>
    <x v="28"/>
    <d v="2025-01-30T00:00:00"/>
    <x v="1"/>
    <x v="2"/>
    <x v="1"/>
    <x v="0"/>
    <x v="8"/>
    <x v="3"/>
    <x v="4"/>
    <x v="1"/>
  </r>
  <r>
    <x v="650"/>
    <x v="0"/>
    <x v="13"/>
    <n v="19.7"/>
    <x v="593"/>
    <x v="28"/>
    <d v="2025-02-09T00:00:00"/>
    <x v="2"/>
    <x v="0"/>
    <x v="2"/>
    <x v="0"/>
    <x v="8"/>
    <x v="11"/>
    <x v="4"/>
    <x v="2"/>
  </r>
  <r>
    <x v="651"/>
    <x v="7"/>
    <x v="0"/>
    <n v="46.7"/>
    <x v="594"/>
    <x v="28"/>
    <d v="2025-02-01T00:00:00"/>
    <x v="2"/>
    <x v="2"/>
    <x v="0"/>
    <x v="0"/>
    <x v="17"/>
    <x v="2"/>
    <x v="4"/>
    <x v="2"/>
  </r>
  <r>
    <x v="652"/>
    <x v="1"/>
    <x v="12"/>
    <n v="43"/>
    <x v="595"/>
    <x v="28"/>
    <d v="2025-01-30T00:00:00"/>
    <x v="1"/>
    <x v="2"/>
    <x v="2"/>
    <x v="0"/>
    <x v="17"/>
    <x v="3"/>
    <x v="4"/>
    <x v="1"/>
  </r>
  <r>
    <x v="653"/>
    <x v="6"/>
    <x v="2"/>
    <n v="68.2"/>
    <x v="214"/>
    <x v="28"/>
    <d v="2025-02-04T00:00:00"/>
    <x v="2"/>
    <x v="0"/>
    <x v="0"/>
    <x v="0"/>
    <x v="9"/>
    <x v="4"/>
    <x v="4"/>
    <x v="2"/>
  </r>
  <r>
    <x v="654"/>
    <x v="10"/>
    <x v="7"/>
    <n v="24.3"/>
    <x v="596"/>
    <x v="28"/>
    <d v="2025-01-30T00:00:00"/>
    <x v="1"/>
    <x v="0"/>
    <x v="2"/>
    <x v="0"/>
    <x v="10"/>
    <x v="3"/>
    <x v="4"/>
    <x v="1"/>
  </r>
  <r>
    <x v="655"/>
    <x v="7"/>
    <x v="1"/>
    <n v="86.8"/>
    <x v="597"/>
    <x v="28"/>
    <d v="2025-02-02T00:00:00"/>
    <x v="2"/>
    <x v="4"/>
    <x v="2"/>
    <x v="0"/>
    <x v="11"/>
    <x v="5"/>
    <x v="4"/>
    <x v="2"/>
  </r>
  <r>
    <x v="656"/>
    <x v="0"/>
    <x v="1"/>
    <n v="15.8"/>
    <x v="35"/>
    <x v="28"/>
    <d v="2025-01-31T00:00:00"/>
    <x v="1"/>
    <x v="1"/>
    <x v="0"/>
    <x v="0"/>
    <x v="11"/>
    <x v="1"/>
    <x v="4"/>
    <x v="1"/>
  </r>
  <r>
    <x v="657"/>
    <x v="2"/>
    <x v="12"/>
    <n v="61.6"/>
    <x v="598"/>
    <x v="28"/>
    <d v="2025-01-30T00:00:00"/>
    <x v="1"/>
    <x v="2"/>
    <x v="0"/>
    <x v="0"/>
    <x v="11"/>
    <x v="3"/>
    <x v="4"/>
    <x v="1"/>
  </r>
  <r>
    <x v="658"/>
    <x v="6"/>
    <x v="2"/>
    <n v="48.7"/>
    <x v="599"/>
    <x v="28"/>
    <d v="2025-02-04T00:00:00"/>
    <x v="2"/>
    <x v="1"/>
    <x v="2"/>
    <x v="0"/>
    <x v="45"/>
    <x v="4"/>
    <x v="4"/>
    <x v="2"/>
  </r>
  <r>
    <x v="659"/>
    <x v="8"/>
    <x v="12"/>
    <n v="24.3"/>
    <x v="451"/>
    <x v="28"/>
    <d v="2025-01-31T00:00:00"/>
    <x v="2"/>
    <x v="1"/>
    <x v="2"/>
    <x v="0"/>
    <x v="21"/>
    <x v="1"/>
    <x v="4"/>
    <x v="2"/>
  </r>
  <r>
    <x v="660"/>
    <x v="2"/>
    <x v="1"/>
    <n v="130.69999999999999"/>
    <x v="600"/>
    <x v="28"/>
    <d v="2025-01-30T00:00:00"/>
    <x v="2"/>
    <x v="2"/>
    <x v="0"/>
    <x v="0"/>
    <x v="44"/>
    <x v="3"/>
    <x v="4"/>
    <x v="2"/>
  </r>
  <r>
    <x v="661"/>
    <x v="10"/>
    <x v="0"/>
    <n v="26"/>
    <x v="601"/>
    <x v="28"/>
    <d v="2025-01-31T00:00:00"/>
    <x v="1"/>
    <x v="0"/>
    <x v="0"/>
    <x v="0"/>
    <x v="3"/>
    <x v="1"/>
    <x v="4"/>
    <x v="1"/>
  </r>
  <r>
    <x v="662"/>
    <x v="2"/>
    <x v="9"/>
    <n v="94.4"/>
    <x v="602"/>
    <x v="28"/>
    <d v="2025-01-30T00:00:00"/>
    <x v="2"/>
    <x v="0"/>
    <x v="0"/>
    <x v="0"/>
    <x v="3"/>
    <x v="3"/>
    <x v="4"/>
    <x v="2"/>
  </r>
  <r>
    <x v="663"/>
    <x v="0"/>
    <x v="13"/>
    <n v="23.7"/>
    <x v="60"/>
    <x v="28"/>
    <d v="2025-01-31T00:00:00"/>
    <x v="1"/>
    <x v="2"/>
    <x v="2"/>
    <x v="0"/>
    <x v="3"/>
    <x v="1"/>
    <x v="4"/>
    <x v="1"/>
  </r>
  <r>
    <x v="664"/>
    <x v="9"/>
    <x v="4"/>
    <n v="37.4"/>
    <x v="603"/>
    <x v="28"/>
    <d v="2025-01-31T00:00:00"/>
    <x v="1"/>
    <x v="2"/>
    <x v="0"/>
    <x v="0"/>
    <x v="3"/>
    <x v="1"/>
    <x v="4"/>
    <x v="1"/>
  </r>
  <r>
    <x v="665"/>
    <x v="1"/>
    <x v="34"/>
    <n v="55.2"/>
    <x v="604"/>
    <x v="28"/>
    <d v="2025-01-29T00:00:00"/>
    <x v="2"/>
    <x v="3"/>
    <x v="1"/>
    <x v="0"/>
    <x v="3"/>
    <x v="7"/>
    <x v="4"/>
    <x v="2"/>
  </r>
  <r>
    <x v="666"/>
    <x v="2"/>
    <x v="11"/>
    <n v="57.1"/>
    <x v="605"/>
    <x v="28"/>
    <d v="2025-01-31T00:00:00"/>
    <x v="1"/>
    <x v="0"/>
    <x v="2"/>
    <x v="0"/>
    <x v="3"/>
    <x v="1"/>
    <x v="4"/>
    <x v="1"/>
  </r>
  <r>
    <x v="667"/>
    <x v="12"/>
    <x v="0"/>
    <n v="55.3"/>
    <x v="6"/>
    <x v="28"/>
    <d v="2025-01-30T00:00:00"/>
    <x v="2"/>
    <x v="2"/>
    <x v="2"/>
    <x v="0"/>
    <x v="3"/>
    <x v="3"/>
    <x v="4"/>
    <x v="2"/>
  </r>
  <r>
    <x v="668"/>
    <x v="15"/>
    <x v="3"/>
    <n v="23.9"/>
    <x v="606"/>
    <x v="28"/>
    <d v="2025-01-30T00:00:00"/>
    <x v="2"/>
    <x v="4"/>
    <x v="1"/>
    <x v="0"/>
    <x v="3"/>
    <x v="3"/>
    <x v="4"/>
    <x v="2"/>
  </r>
  <r>
    <x v="669"/>
    <x v="0"/>
    <x v="0"/>
    <n v="34.1"/>
    <x v="607"/>
    <x v="28"/>
    <d v="2025-02-05T00:00:00"/>
    <x v="2"/>
    <x v="2"/>
    <x v="0"/>
    <x v="0"/>
    <x v="3"/>
    <x v="6"/>
    <x v="4"/>
    <x v="2"/>
  </r>
  <r>
    <x v="670"/>
    <x v="12"/>
    <x v="12"/>
    <n v="38.5"/>
    <x v="608"/>
    <x v="28"/>
    <d v="2025-02-09T00:00:00"/>
    <x v="2"/>
    <x v="0"/>
    <x v="0"/>
    <x v="0"/>
    <x v="3"/>
    <x v="11"/>
    <x v="4"/>
    <x v="2"/>
  </r>
  <r>
    <x v="671"/>
    <x v="7"/>
    <x v="1"/>
    <n v="105"/>
    <x v="609"/>
    <x v="28"/>
    <d v="2025-02-04T00:00:00"/>
    <x v="2"/>
    <x v="0"/>
    <x v="2"/>
    <x v="0"/>
    <x v="3"/>
    <x v="4"/>
    <x v="4"/>
    <x v="2"/>
  </r>
  <r>
    <x v="672"/>
    <x v="8"/>
    <x v="9"/>
    <n v="45.2"/>
    <x v="326"/>
    <x v="28"/>
    <d v="2025-01-31T00:00:00"/>
    <x v="2"/>
    <x v="0"/>
    <x v="2"/>
    <x v="0"/>
    <x v="3"/>
    <x v="1"/>
    <x v="4"/>
    <x v="2"/>
  </r>
  <r>
    <x v="673"/>
    <x v="17"/>
    <x v="2"/>
    <n v="24.8"/>
    <x v="610"/>
    <x v="28"/>
    <d v="2025-01-29T00:00:00"/>
    <x v="0"/>
    <x v="0"/>
    <x v="1"/>
    <x v="0"/>
    <x v="3"/>
    <x v="7"/>
    <x v="4"/>
    <x v="0"/>
  </r>
  <r>
    <x v="674"/>
    <x v="11"/>
    <x v="12"/>
    <n v="43.8"/>
    <x v="122"/>
    <x v="28"/>
    <d v="2025-02-05T00:00:00"/>
    <x v="2"/>
    <x v="1"/>
    <x v="2"/>
    <x v="0"/>
    <x v="6"/>
    <x v="6"/>
    <x v="4"/>
    <x v="2"/>
  </r>
  <r>
    <x v="675"/>
    <x v="1"/>
    <x v="0"/>
    <n v="75"/>
    <x v="611"/>
    <x v="28"/>
    <d v="2025-01-31T00:00:00"/>
    <x v="2"/>
    <x v="4"/>
    <x v="1"/>
    <x v="0"/>
    <x v="6"/>
    <x v="1"/>
    <x v="4"/>
    <x v="2"/>
  </r>
  <r>
    <x v="676"/>
    <x v="2"/>
    <x v="0"/>
    <n v="169.9"/>
    <x v="612"/>
    <x v="28"/>
    <d v="2025-01-30T00:00:00"/>
    <x v="1"/>
    <x v="2"/>
    <x v="0"/>
    <x v="0"/>
    <x v="6"/>
    <x v="3"/>
    <x v="4"/>
    <x v="1"/>
  </r>
  <r>
    <x v="677"/>
    <x v="9"/>
    <x v="1"/>
    <n v="72.2"/>
    <x v="613"/>
    <x v="28"/>
    <d v="2025-01-31T00:00:00"/>
    <x v="2"/>
    <x v="4"/>
    <x v="1"/>
    <x v="0"/>
    <x v="6"/>
    <x v="1"/>
    <x v="4"/>
    <x v="2"/>
  </r>
  <r>
    <x v="678"/>
    <x v="0"/>
    <x v="0"/>
    <n v="20"/>
    <x v="614"/>
    <x v="29"/>
    <d v="2025-02-02T00:00:00"/>
    <x v="2"/>
    <x v="2"/>
    <x v="1"/>
    <x v="0"/>
    <x v="7"/>
    <x v="2"/>
    <x v="4"/>
    <x v="2"/>
  </r>
  <r>
    <x v="679"/>
    <x v="9"/>
    <x v="1"/>
    <n v="40.799999999999997"/>
    <x v="330"/>
    <x v="29"/>
    <d v="2025-02-01T00:00:00"/>
    <x v="2"/>
    <x v="3"/>
    <x v="2"/>
    <x v="0"/>
    <x v="8"/>
    <x v="1"/>
    <x v="4"/>
    <x v="2"/>
  </r>
  <r>
    <x v="680"/>
    <x v="10"/>
    <x v="12"/>
    <n v="58"/>
    <x v="615"/>
    <x v="29"/>
    <d v="2025-02-03T00:00:00"/>
    <x v="2"/>
    <x v="0"/>
    <x v="0"/>
    <x v="0"/>
    <x v="8"/>
    <x v="5"/>
    <x v="4"/>
    <x v="2"/>
  </r>
  <r>
    <x v="681"/>
    <x v="12"/>
    <x v="1"/>
    <n v="43.1"/>
    <x v="616"/>
    <x v="29"/>
    <d v="2025-01-31T00:00:00"/>
    <x v="2"/>
    <x v="1"/>
    <x v="2"/>
    <x v="0"/>
    <x v="8"/>
    <x v="3"/>
    <x v="4"/>
    <x v="2"/>
  </r>
  <r>
    <x v="682"/>
    <x v="6"/>
    <x v="11"/>
    <n v="74.7"/>
    <x v="617"/>
    <x v="29"/>
    <d v="2025-02-01T00:00:00"/>
    <x v="1"/>
    <x v="0"/>
    <x v="2"/>
    <x v="0"/>
    <x v="8"/>
    <x v="1"/>
    <x v="4"/>
    <x v="1"/>
  </r>
  <r>
    <x v="683"/>
    <x v="6"/>
    <x v="0"/>
    <n v="128.19999999999999"/>
    <x v="618"/>
    <x v="29"/>
    <d v="2025-01-30T00:00:00"/>
    <x v="1"/>
    <x v="1"/>
    <x v="0"/>
    <x v="0"/>
    <x v="8"/>
    <x v="7"/>
    <x v="4"/>
    <x v="1"/>
  </r>
  <r>
    <x v="684"/>
    <x v="14"/>
    <x v="12"/>
    <n v="26.7"/>
    <x v="619"/>
    <x v="29"/>
    <d v="2025-01-31T00:00:00"/>
    <x v="1"/>
    <x v="1"/>
    <x v="0"/>
    <x v="0"/>
    <x v="8"/>
    <x v="3"/>
    <x v="4"/>
    <x v="1"/>
  </r>
  <r>
    <x v="685"/>
    <x v="17"/>
    <x v="13"/>
    <n v="31.5"/>
    <x v="620"/>
    <x v="29"/>
    <d v="2025-01-31T00:00:00"/>
    <x v="2"/>
    <x v="2"/>
    <x v="0"/>
    <x v="0"/>
    <x v="17"/>
    <x v="3"/>
    <x v="4"/>
    <x v="2"/>
  </r>
  <r>
    <x v="686"/>
    <x v="3"/>
    <x v="3"/>
    <n v="64.7"/>
    <x v="621"/>
    <x v="29"/>
    <d v="2025-01-31T00:00:00"/>
    <x v="2"/>
    <x v="0"/>
    <x v="2"/>
    <x v="0"/>
    <x v="9"/>
    <x v="3"/>
    <x v="4"/>
    <x v="2"/>
  </r>
  <r>
    <x v="687"/>
    <x v="5"/>
    <x v="1"/>
    <n v="55.6"/>
    <x v="622"/>
    <x v="29"/>
    <d v="2025-02-02T00:00:00"/>
    <x v="2"/>
    <x v="3"/>
    <x v="0"/>
    <x v="0"/>
    <x v="11"/>
    <x v="2"/>
    <x v="4"/>
    <x v="2"/>
  </r>
  <r>
    <x v="688"/>
    <x v="3"/>
    <x v="1"/>
    <n v="36.200000000000003"/>
    <x v="623"/>
    <x v="29"/>
    <d v="2025-01-31T00:00:00"/>
    <x v="2"/>
    <x v="3"/>
    <x v="0"/>
    <x v="0"/>
    <x v="11"/>
    <x v="3"/>
    <x v="4"/>
    <x v="2"/>
  </r>
  <r>
    <x v="689"/>
    <x v="0"/>
    <x v="0"/>
    <n v="26.6"/>
    <x v="534"/>
    <x v="29"/>
    <d v="2025-01-31T00:00:00"/>
    <x v="0"/>
    <x v="1"/>
    <x v="1"/>
    <x v="0"/>
    <x v="19"/>
    <x v="3"/>
    <x v="4"/>
    <x v="0"/>
  </r>
  <r>
    <x v="690"/>
    <x v="10"/>
    <x v="12"/>
    <n v="31.5"/>
    <x v="624"/>
    <x v="29"/>
    <d v="2025-02-01T00:00:00"/>
    <x v="1"/>
    <x v="0"/>
    <x v="0"/>
    <x v="0"/>
    <x v="31"/>
    <x v="1"/>
    <x v="4"/>
    <x v="1"/>
  </r>
  <r>
    <x v="691"/>
    <x v="10"/>
    <x v="0"/>
    <n v="27"/>
    <x v="49"/>
    <x v="29"/>
    <d v="2025-02-01T00:00:00"/>
    <x v="2"/>
    <x v="1"/>
    <x v="2"/>
    <x v="0"/>
    <x v="13"/>
    <x v="1"/>
    <x v="4"/>
    <x v="2"/>
  </r>
  <r>
    <x v="692"/>
    <x v="4"/>
    <x v="0"/>
    <n v="32"/>
    <x v="109"/>
    <x v="29"/>
    <d v="2025-02-02T00:00:00"/>
    <x v="1"/>
    <x v="3"/>
    <x v="0"/>
    <x v="0"/>
    <x v="21"/>
    <x v="2"/>
    <x v="4"/>
    <x v="1"/>
  </r>
  <r>
    <x v="693"/>
    <x v="1"/>
    <x v="2"/>
    <n v="48.1"/>
    <x v="625"/>
    <x v="29"/>
    <d v="2025-02-01T00:00:00"/>
    <x v="1"/>
    <x v="2"/>
    <x v="1"/>
    <x v="0"/>
    <x v="1"/>
    <x v="1"/>
    <x v="4"/>
    <x v="1"/>
  </r>
  <r>
    <x v="694"/>
    <x v="9"/>
    <x v="1"/>
    <n v="43.4"/>
    <x v="626"/>
    <x v="29"/>
    <d v="2025-01-31T00:00:00"/>
    <x v="1"/>
    <x v="1"/>
    <x v="1"/>
    <x v="0"/>
    <x v="22"/>
    <x v="3"/>
    <x v="4"/>
    <x v="1"/>
  </r>
  <r>
    <x v="695"/>
    <x v="6"/>
    <x v="1"/>
    <n v="42.6"/>
    <x v="464"/>
    <x v="29"/>
    <d v="2025-02-02T00:00:00"/>
    <x v="2"/>
    <x v="3"/>
    <x v="0"/>
    <x v="0"/>
    <x v="22"/>
    <x v="2"/>
    <x v="4"/>
    <x v="2"/>
  </r>
  <r>
    <x v="696"/>
    <x v="8"/>
    <x v="1"/>
    <n v="15.9"/>
    <x v="627"/>
    <x v="29"/>
    <d v="2025-01-31T00:00:00"/>
    <x v="2"/>
    <x v="0"/>
    <x v="0"/>
    <x v="0"/>
    <x v="34"/>
    <x v="3"/>
    <x v="4"/>
    <x v="2"/>
  </r>
  <r>
    <x v="697"/>
    <x v="9"/>
    <x v="1"/>
    <n v="63.2"/>
    <x v="628"/>
    <x v="29"/>
    <d v="2025-01-31T00:00:00"/>
    <x v="1"/>
    <x v="1"/>
    <x v="0"/>
    <x v="0"/>
    <x v="3"/>
    <x v="3"/>
    <x v="4"/>
    <x v="1"/>
  </r>
  <r>
    <x v="698"/>
    <x v="7"/>
    <x v="12"/>
    <n v="64.8"/>
    <x v="629"/>
    <x v="29"/>
    <d v="2025-02-01T00:00:00"/>
    <x v="0"/>
    <x v="4"/>
    <x v="1"/>
    <x v="0"/>
    <x v="3"/>
    <x v="1"/>
    <x v="4"/>
    <x v="0"/>
  </r>
  <r>
    <x v="699"/>
    <x v="7"/>
    <x v="2"/>
    <n v="79.8"/>
    <x v="342"/>
    <x v="29"/>
    <d v="2025-01-31T00:00:00"/>
    <x v="1"/>
    <x v="0"/>
    <x v="0"/>
    <x v="0"/>
    <x v="3"/>
    <x v="3"/>
    <x v="4"/>
    <x v="1"/>
  </r>
  <r>
    <x v="700"/>
    <x v="9"/>
    <x v="0"/>
    <n v="54.4"/>
    <x v="630"/>
    <x v="29"/>
    <d v="2025-02-01T00:00:00"/>
    <x v="2"/>
    <x v="4"/>
    <x v="2"/>
    <x v="0"/>
    <x v="3"/>
    <x v="1"/>
    <x v="4"/>
    <x v="2"/>
  </r>
  <r>
    <x v="701"/>
    <x v="6"/>
    <x v="0"/>
    <n v="87.3"/>
    <x v="631"/>
    <x v="29"/>
    <d v="2025-01-31T00:00:00"/>
    <x v="1"/>
    <x v="1"/>
    <x v="0"/>
    <x v="0"/>
    <x v="3"/>
    <x v="3"/>
    <x v="4"/>
    <x v="1"/>
  </r>
  <r>
    <x v="702"/>
    <x v="8"/>
    <x v="12"/>
    <n v="32.4"/>
    <x v="632"/>
    <x v="29"/>
    <d v="2025-01-30T00:00:00"/>
    <x v="1"/>
    <x v="1"/>
    <x v="0"/>
    <x v="0"/>
    <x v="3"/>
    <x v="7"/>
    <x v="4"/>
    <x v="1"/>
  </r>
  <r>
    <x v="703"/>
    <x v="2"/>
    <x v="0"/>
    <n v="177.4"/>
    <x v="633"/>
    <x v="29"/>
    <d v="2025-02-03T00:00:00"/>
    <x v="1"/>
    <x v="0"/>
    <x v="2"/>
    <x v="0"/>
    <x v="3"/>
    <x v="5"/>
    <x v="4"/>
    <x v="1"/>
  </r>
  <r>
    <x v="704"/>
    <x v="7"/>
    <x v="1"/>
    <n v="70.099999999999994"/>
    <x v="634"/>
    <x v="29"/>
    <d v="2025-01-31T00:00:00"/>
    <x v="1"/>
    <x v="3"/>
    <x v="1"/>
    <x v="0"/>
    <x v="3"/>
    <x v="3"/>
    <x v="4"/>
    <x v="1"/>
  </r>
  <r>
    <x v="705"/>
    <x v="9"/>
    <x v="13"/>
    <n v="51.1"/>
    <x v="567"/>
    <x v="29"/>
    <d v="2025-01-31T00:00:00"/>
    <x v="2"/>
    <x v="0"/>
    <x v="0"/>
    <x v="0"/>
    <x v="3"/>
    <x v="3"/>
    <x v="4"/>
    <x v="2"/>
  </r>
  <r>
    <x v="706"/>
    <x v="2"/>
    <x v="9"/>
    <n v="79.900000000000006"/>
    <x v="635"/>
    <x v="29"/>
    <d v="2025-02-01T00:00:00"/>
    <x v="1"/>
    <x v="3"/>
    <x v="2"/>
    <x v="0"/>
    <x v="24"/>
    <x v="1"/>
    <x v="4"/>
    <x v="1"/>
  </r>
  <r>
    <x v="707"/>
    <x v="6"/>
    <x v="0"/>
    <n v="57.6"/>
    <x v="636"/>
    <x v="30"/>
    <d v="2025-02-05T00:00:00"/>
    <x v="1"/>
    <x v="0"/>
    <x v="2"/>
    <x v="0"/>
    <x v="49"/>
    <x v="0"/>
    <x v="4"/>
    <x v="1"/>
  </r>
  <r>
    <x v="708"/>
    <x v="8"/>
    <x v="7"/>
    <n v="59.7"/>
    <x v="637"/>
    <x v="30"/>
    <d v="2025-02-04T00:00:00"/>
    <x v="1"/>
    <x v="2"/>
    <x v="0"/>
    <x v="0"/>
    <x v="25"/>
    <x v="5"/>
    <x v="4"/>
    <x v="1"/>
  </r>
  <r>
    <x v="709"/>
    <x v="8"/>
    <x v="9"/>
    <n v="30"/>
    <x v="638"/>
    <x v="30"/>
    <d v="2025-02-02T00:00:00"/>
    <x v="1"/>
    <x v="1"/>
    <x v="0"/>
    <x v="0"/>
    <x v="6"/>
    <x v="1"/>
    <x v="4"/>
    <x v="1"/>
  </r>
  <r>
    <x v="710"/>
    <x v="10"/>
    <x v="1"/>
    <n v="69.2"/>
    <x v="639"/>
    <x v="30"/>
    <d v="2025-02-02T00:00:00"/>
    <x v="0"/>
    <x v="2"/>
    <x v="1"/>
    <x v="0"/>
    <x v="6"/>
    <x v="1"/>
    <x v="4"/>
    <x v="0"/>
  </r>
  <r>
    <x v="711"/>
    <x v="0"/>
    <x v="8"/>
    <n v="10.9"/>
    <x v="640"/>
    <x v="30"/>
    <d v="2025-02-01T00:00:00"/>
    <x v="2"/>
    <x v="0"/>
    <x v="2"/>
    <x v="0"/>
    <x v="6"/>
    <x v="3"/>
    <x v="4"/>
    <x v="2"/>
  </r>
  <r>
    <x v="712"/>
    <x v="16"/>
    <x v="1"/>
    <n v="48.6"/>
    <x v="451"/>
    <x v="30"/>
    <d v="2025-02-04T00:00:00"/>
    <x v="1"/>
    <x v="1"/>
    <x v="2"/>
    <x v="0"/>
    <x v="6"/>
    <x v="5"/>
    <x v="4"/>
    <x v="1"/>
  </r>
  <r>
    <x v="713"/>
    <x v="2"/>
    <x v="1"/>
    <n v="61.1"/>
    <x v="641"/>
    <x v="30"/>
    <d v="2025-02-03T00:00:00"/>
    <x v="2"/>
    <x v="1"/>
    <x v="2"/>
    <x v="0"/>
    <x v="7"/>
    <x v="2"/>
    <x v="4"/>
    <x v="2"/>
  </r>
  <r>
    <x v="714"/>
    <x v="8"/>
    <x v="1"/>
    <n v="23.2"/>
    <x v="434"/>
    <x v="30"/>
    <d v="2025-02-01T00:00:00"/>
    <x v="1"/>
    <x v="3"/>
    <x v="2"/>
    <x v="0"/>
    <x v="8"/>
    <x v="3"/>
    <x v="4"/>
    <x v="1"/>
  </r>
  <r>
    <x v="715"/>
    <x v="12"/>
    <x v="12"/>
    <n v="55.8"/>
    <x v="642"/>
    <x v="30"/>
    <d v="2025-02-01T00:00:00"/>
    <x v="1"/>
    <x v="0"/>
    <x v="0"/>
    <x v="0"/>
    <x v="8"/>
    <x v="3"/>
    <x v="4"/>
    <x v="1"/>
  </r>
  <r>
    <x v="716"/>
    <x v="9"/>
    <x v="12"/>
    <n v="24.8"/>
    <x v="643"/>
    <x v="30"/>
    <d v="2025-02-01T00:00:00"/>
    <x v="2"/>
    <x v="0"/>
    <x v="2"/>
    <x v="0"/>
    <x v="8"/>
    <x v="3"/>
    <x v="4"/>
    <x v="2"/>
  </r>
  <r>
    <x v="717"/>
    <x v="10"/>
    <x v="1"/>
    <n v="27.9"/>
    <x v="391"/>
    <x v="30"/>
    <d v="2025-01-31T00:00:00"/>
    <x v="1"/>
    <x v="2"/>
    <x v="2"/>
    <x v="0"/>
    <x v="8"/>
    <x v="7"/>
    <x v="4"/>
    <x v="1"/>
  </r>
  <r>
    <x v="718"/>
    <x v="10"/>
    <x v="13"/>
    <n v="51.1"/>
    <x v="567"/>
    <x v="30"/>
    <d v="2025-01-31T00:00:00"/>
    <x v="2"/>
    <x v="3"/>
    <x v="0"/>
    <x v="0"/>
    <x v="8"/>
    <x v="7"/>
    <x v="4"/>
    <x v="2"/>
  </r>
  <r>
    <x v="719"/>
    <x v="17"/>
    <x v="5"/>
    <n v="32.700000000000003"/>
    <x v="644"/>
    <x v="30"/>
    <d v="2025-02-01T00:00:00"/>
    <x v="1"/>
    <x v="4"/>
    <x v="2"/>
    <x v="0"/>
    <x v="17"/>
    <x v="3"/>
    <x v="4"/>
    <x v="1"/>
  </r>
  <r>
    <x v="720"/>
    <x v="8"/>
    <x v="12"/>
    <n v="22.5"/>
    <x v="645"/>
    <x v="30"/>
    <d v="2025-01-31T00:00:00"/>
    <x v="1"/>
    <x v="0"/>
    <x v="2"/>
    <x v="0"/>
    <x v="26"/>
    <x v="7"/>
    <x v="4"/>
    <x v="1"/>
  </r>
  <r>
    <x v="721"/>
    <x v="0"/>
    <x v="3"/>
    <n v="14.6"/>
    <x v="646"/>
    <x v="30"/>
    <d v="2025-02-01T00:00:00"/>
    <x v="2"/>
    <x v="2"/>
    <x v="0"/>
    <x v="0"/>
    <x v="41"/>
    <x v="3"/>
    <x v="4"/>
    <x v="2"/>
  </r>
  <r>
    <x v="722"/>
    <x v="5"/>
    <x v="2"/>
    <n v="32.5"/>
    <x v="647"/>
    <x v="30"/>
    <d v="2025-02-03T00:00:00"/>
    <x v="1"/>
    <x v="0"/>
    <x v="0"/>
    <x v="0"/>
    <x v="10"/>
    <x v="2"/>
    <x v="4"/>
    <x v="1"/>
  </r>
  <r>
    <x v="723"/>
    <x v="18"/>
    <x v="0"/>
    <n v="78.099999999999994"/>
    <x v="648"/>
    <x v="30"/>
    <d v="2025-02-03T00:00:00"/>
    <x v="1"/>
    <x v="0"/>
    <x v="2"/>
    <x v="0"/>
    <x v="11"/>
    <x v="2"/>
    <x v="4"/>
    <x v="1"/>
  </r>
  <r>
    <x v="724"/>
    <x v="12"/>
    <x v="13"/>
    <n v="110.2"/>
    <x v="649"/>
    <x v="30"/>
    <d v="2025-01-31T00:00:00"/>
    <x v="1"/>
    <x v="1"/>
    <x v="4"/>
    <x v="0"/>
    <x v="13"/>
    <x v="7"/>
    <x v="4"/>
    <x v="1"/>
  </r>
  <r>
    <x v="725"/>
    <x v="6"/>
    <x v="2"/>
    <n v="86.3"/>
    <x v="650"/>
    <x v="30"/>
    <d v="2025-02-02T00:00:00"/>
    <x v="2"/>
    <x v="3"/>
    <x v="0"/>
    <x v="0"/>
    <x v="21"/>
    <x v="1"/>
    <x v="4"/>
    <x v="2"/>
  </r>
  <r>
    <x v="726"/>
    <x v="1"/>
    <x v="13"/>
    <n v="73.599999999999994"/>
    <x v="651"/>
    <x v="30"/>
    <d v="2025-02-02T00:00:00"/>
    <x v="3"/>
    <x v="3"/>
    <x v="4"/>
    <x v="0"/>
    <x v="44"/>
    <x v="1"/>
    <x v="4"/>
    <x v="3"/>
  </r>
  <r>
    <x v="727"/>
    <x v="6"/>
    <x v="15"/>
    <n v="67.7"/>
    <x v="652"/>
    <x v="30"/>
    <d v="2025-02-02T00:00:00"/>
    <x v="2"/>
    <x v="0"/>
    <x v="2"/>
    <x v="0"/>
    <x v="3"/>
    <x v="1"/>
    <x v="4"/>
    <x v="2"/>
  </r>
  <r>
    <x v="728"/>
    <x v="7"/>
    <x v="13"/>
    <n v="142.19999999999999"/>
    <x v="653"/>
    <x v="30"/>
    <d v="2025-02-01T00:00:00"/>
    <x v="2"/>
    <x v="2"/>
    <x v="4"/>
    <x v="0"/>
    <x v="3"/>
    <x v="3"/>
    <x v="4"/>
    <x v="2"/>
  </r>
  <r>
    <x v="729"/>
    <x v="1"/>
    <x v="11"/>
    <n v="45.8"/>
    <x v="654"/>
    <x v="30"/>
    <d v="2025-02-02T00:00:00"/>
    <x v="2"/>
    <x v="1"/>
    <x v="2"/>
    <x v="0"/>
    <x v="3"/>
    <x v="1"/>
    <x v="4"/>
    <x v="2"/>
  </r>
  <r>
    <x v="730"/>
    <x v="10"/>
    <x v="1"/>
    <n v="24.2"/>
    <x v="655"/>
    <x v="31"/>
    <d v="2025-02-04T00:00:00"/>
    <x v="2"/>
    <x v="3"/>
    <x v="2"/>
    <x v="0"/>
    <x v="3"/>
    <x v="2"/>
    <x v="4"/>
    <x v="2"/>
  </r>
  <r>
    <x v="731"/>
    <x v="2"/>
    <x v="2"/>
    <n v="144.9"/>
    <x v="656"/>
    <x v="31"/>
    <d v="2025-02-02T00:00:00"/>
    <x v="3"/>
    <x v="2"/>
    <x v="2"/>
    <x v="0"/>
    <x v="3"/>
    <x v="3"/>
    <x v="4"/>
    <x v="3"/>
  </r>
  <r>
    <x v="732"/>
    <x v="11"/>
    <x v="9"/>
    <n v="32.799999999999997"/>
    <x v="657"/>
    <x v="31"/>
    <d v="2025-02-04T00:00:00"/>
    <x v="2"/>
    <x v="2"/>
    <x v="0"/>
    <x v="0"/>
    <x v="23"/>
    <x v="2"/>
    <x v="4"/>
    <x v="2"/>
  </r>
  <r>
    <x v="733"/>
    <x v="7"/>
    <x v="7"/>
    <n v="35.700000000000003"/>
    <x v="658"/>
    <x v="31"/>
    <d v="2025-02-01T00:00:00"/>
    <x v="2"/>
    <x v="0"/>
    <x v="1"/>
    <x v="0"/>
    <x v="6"/>
    <x v="7"/>
    <x v="4"/>
    <x v="2"/>
  </r>
  <r>
    <x v="734"/>
    <x v="9"/>
    <x v="1"/>
    <n v="54.6"/>
    <x v="659"/>
    <x v="31"/>
    <d v="2025-02-02T00:00:00"/>
    <x v="2"/>
    <x v="2"/>
    <x v="0"/>
    <x v="0"/>
    <x v="6"/>
    <x v="3"/>
    <x v="4"/>
    <x v="2"/>
  </r>
  <r>
    <x v="735"/>
    <x v="8"/>
    <x v="1"/>
    <n v="35.700000000000003"/>
    <x v="660"/>
    <x v="31"/>
    <d v="2025-02-04T00:00:00"/>
    <x v="0"/>
    <x v="0"/>
    <x v="1"/>
    <x v="0"/>
    <x v="6"/>
    <x v="2"/>
    <x v="4"/>
    <x v="0"/>
  </r>
  <r>
    <x v="736"/>
    <x v="10"/>
    <x v="1"/>
    <n v="52.4"/>
    <x v="661"/>
    <x v="31"/>
    <d v="2025-02-01T00:00:00"/>
    <x v="2"/>
    <x v="0"/>
    <x v="3"/>
    <x v="0"/>
    <x v="6"/>
    <x v="7"/>
    <x v="4"/>
    <x v="2"/>
  </r>
  <r>
    <x v="737"/>
    <x v="8"/>
    <x v="21"/>
    <n v="16.2"/>
    <x v="662"/>
    <x v="31"/>
    <d v="2025-02-02T00:00:00"/>
    <x v="0"/>
    <x v="0"/>
    <x v="1"/>
    <x v="0"/>
    <x v="8"/>
    <x v="3"/>
    <x v="4"/>
    <x v="0"/>
  </r>
  <r>
    <x v="738"/>
    <x v="6"/>
    <x v="35"/>
    <n v="42.8"/>
    <x v="663"/>
    <x v="31"/>
    <d v="2025-02-02T00:00:00"/>
    <x v="2"/>
    <x v="0"/>
    <x v="0"/>
    <x v="0"/>
    <x v="8"/>
    <x v="3"/>
    <x v="4"/>
    <x v="2"/>
  </r>
  <r>
    <x v="739"/>
    <x v="6"/>
    <x v="11"/>
    <n v="144.4"/>
    <x v="664"/>
    <x v="31"/>
    <d v="2025-02-04T00:00:00"/>
    <x v="2"/>
    <x v="4"/>
    <x v="0"/>
    <x v="0"/>
    <x v="8"/>
    <x v="2"/>
    <x v="4"/>
    <x v="2"/>
  </r>
  <r>
    <x v="740"/>
    <x v="3"/>
    <x v="34"/>
    <n v="30.6"/>
    <x v="665"/>
    <x v="31"/>
    <d v="2025-02-05T00:00:00"/>
    <x v="2"/>
    <x v="2"/>
    <x v="2"/>
    <x v="0"/>
    <x v="11"/>
    <x v="5"/>
    <x v="4"/>
    <x v="2"/>
  </r>
  <r>
    <x v="741"/>
    <x v="2"/>
    <x v="1"/>
    <n v="117.5"/>
    <x v="666"/>
    <x v="31"/>
    <d v="2025-02-02T00:00:00"/>
    <x v="1"/>
    <x v="0"/>
    <x v="0"/>
    <x v="0"/>
    <x v="19"/>
    <x v="3"/>
    <x v="4"/>
    <x v="1"/>
  </r>
  <r>
    <x v="742"/>
    <x v="6"/>
    <x v="1"/>
    <n v="105.7"/>
    <x v="667"/>
    <x v="31"/>
    <d v="2025-02-02T00:00:00"/>
    <x v="2"/>
    <x v="2"/>
    <x v="2"/>
    <x v="0"/>
    <x v="21"/>
    <x v="3"/>
    <x v="4"/>
    <x v="2"/>
  </r>
  <r>
    <x v="743"/>
    <x v="3"/>
    <x v="2"/>
    <n v="133.69999999999999"/>
    <x v="668"/>
    <x v="31"/>
    <d v="2025-02-02T00:00:00"/>
    <x v="0"/>
    <x v="4"/>
    <x v="2"/>
    <x v="0"/>
    <x v="21"/>
    <x v="3"/>
    <x v="4"/>
    <x v="0"/>
  </r>
  <r>
    <x v="744"/>
    <x v="4"/>
    <x v="9"/>
    <n v="46.8"/>
    <x v="540"/>
    <x v="32"/>
    <d v="2025-02-10T00:00:00"/>
    <x v="2"/>
    <x v="0"/>
    <x v="1"/>
    <x v="0"/>
    <x v="21"/>
    <x v="9"/>
    <x v="5"/>
    <x v="2"/>
  </r>
  <r>
    <x v="745"/>
    <x v="10"/>
    <x v="2"/>
    <n v="58.4"/>
    <x v="122"/>
    <x v="32"/>
    <d v="2025-02-04T00:00:00"/>
    <x v="2"/>
    <x v="0"/>
    <x v="0"/>
    <x v="0"/>
    <x v="1"/>
    <x v="1"/>
    <x v="5"/>
    <x v="2"/>
  </r>
  <r>
    <x v="746"/>
    <x v="6"/>
    <x v="11"/>
    <n v="65.099999999999994"/>
    <x v="669"/>
    <x v="32"/>
    <d v="2025-02-06T00:00:00"/>
    <x v="1"/>
    <x v="1"/>
    <x v="2"/>
    <x v="0"/>
    <x v="22"/>
    <x v="5"/>
    <x v="5"/>
    <x v="1"/>
  </r>
  <r>
    <x v="747"/>
    <x v="8"/>
    <x v="0"/>
    <n v="18.600000000000001"/>
    <x v="670"/>
    <x v="32"/>
    <d v="2025-02-05T00:00:00"/>
    <x v="2"/>
    <x v="0"/>
    <x v="4"/>
    <x v="0"/>
    <x v="22"/>
    <x v="2"/>
    <x v="5"/>
    <x v="2"/>
  </r>
  <r>
    <x v="748"/>
    <x v="1"/>
    <x v="5"/>
    <n v="92.3"/>
    <x v="671"/>
    <x v="32"/>
    <d v="2025-02-04T00:00:00"/>
    <x v="1"/>
    <x v="1"/>
    <x v="0"/>
    <x v="0"/>
    <x v="3"/>
    <x v="1"/>
    <x v="5"/>
    <x v="1"/>
  </r>
  <r>
    <x v="749"/>
    <x v="6"/>
    <x v="2"/>
    <n v="81.7"/>
    <x v="672"/>
    <x v="32"/>
    <d v="2025-02-03T00:00:00"/>
    <x v="0"/>
    <x v="4"/>
    <x v="4"/>
    <x v="0"/>
    <x v="3"/>
    <x v="3"/>
    <x v="5"/>
    <x v="0"/>
  </r>
  <r>
    <x v="750"/>
    <x v="8"/>
    <x v="1"/>
    <n v="40.9"/>
    <x v="673"/>
    <x v="32"/>
    <d v="2025-02-04T00:00:00"/>
    <x v="1"/>
    <x v="0"/>
    <x v="1"/>
    <x v="0"/>
    <x v="3"/>
    <x v="1"/>
    <x v="5"/>
    <x v="1"/>
  </r>
  <r>
    <x v="751"/>
    <x v="6"/>
    <x v="12"/>
    <n v="43.2"/>
    <x v="162"/>
    <x v="32"/>
    <d v="2025-02-08T00:00:00"/>
    <x v="2"/>
    <x v="0"/>
    <x v="1"/>
    <x v="0"/>
    <x v="3"/>
    <x v="4"/>
    <x v="5"/>
    <x v="2"/>
  </r>
  <r>
    <x v="752"/>
    <x v="8"/>
    <x v="5"/>
    <n v="25.8"/>
    <x v="674"/>
    <x v="32"/>
    <d v="2025-02-05T00:00:00"/>
    <x v="1"/>
    <x v="2"/>
    <x v="1"/>
    <x v="0"/>
    <x v="3"/>
    <x v="2"/>
    <x v="5"/>
    <x v="1"/>
  </r>
  <r>
    <x v="753"/>
    <x v="15"/>
    <x v="12"/>
    <n v="36.4"/>
    <x v="675"/>
    <x v="32"/>
    <d v="2025-02-03T00:00:00"/>
    <x v="1"/>
    <x v="0"/>
    <x v="0"/>
    <x v="0"/>
    <x v="3"/>
    <x v="3"/>
    <x v="5"/>
    <x v="1"/>
  </r>
  <r>
    <x v="754"/>
    <x v="10"/>
    <x v="0"/>
    <n v="59.1"/>
    <x v="676"/>
    <x v="32"/>
    <d v="2025-02-03T00:00:00"/>
    <x v="2"/>
    <x v="2"/>
    <x v="0"/>
    <x v="0"/>
    <x v="7"/>
    <x v="3"/>
    <x v="5"/>
    <x v="2"/>
  </r>
  <r>
    <x v="755"/>
    <x v="2"/>
    <x v="14"/>
    <n v="74.5"/>
    <x v="677"/>
    <x v="32"/>
    <d v="2025-02-04T00:00:00"/>
    <x v="1"/>
    <x v="4"/>
    <x v="0"/>
    <x v="0"/>
    <x v="18"/>
    <x v="1"/>
    <x v="5"/>
    <x v="1"/>
  </r>
  <r>
    <x v="756"/>
    <x v="5"/>
    <x v="0"/>
    <n v="72.8"/>
    <x v="236"/>
    <x v="32"/>
    <d v="2025-02-03T00:00:00"/>
    <x v="2"/>
    <x v="0"/>
    <x v="1"/>
    <x v="0"/>
    <x v="19"/>
    <x v="3"/>
    <x v="5"/>
    <x v="2"/>
  </r>
  <r>
    <x v="757"/>
    <x v="6"/>
    <x v="12"/>
    <n v="137.30000000000001"/>
    <x v="678"/>
    <x v="32"/>
    <d v="2025-02-05T00:00:00"/>
    <x v="2"/>
    <x v="0"/>
    <x v="0"/>
    <x v="0"/>
    <x v="13"/>
    <x v="2"/>
    <x v="5"/>
    <x v="2"/>
  </r>
  <r>
    <x v="758"/>
    <x v="1"/>
    <x v="2"/>
    <n v="48.7"/>
    <x v="599"/>
    <x v="32"/>
    <d v="2025-02-07T00:00:00"/>
    <x v="2"/>
    <x v="0"/>
    <x v="1"/>
    <x v="0"/>
    <x v="21"/>
    <x v="0"/>
    <x v="5"/>
    <x v="2"/>
  </r>
  <r>
    <x v="759"/>
    <x v="6"/>
    <x v="12"/>
    <n v="53.7"/>
    <x v="679"/>
    <x v="32"/>
    <d v="2025-02-06T00:00:00"/>
    <x v="1"/>
    <x v="1"/>
    <x v="4"/>
    <x v="0"/>
    <x v="2"/>
    <x v="5"/>
    <x v="5"/>
    <x v="1"/>
  </r>
  <r>
    <x v="760"/>
    <x v="2"/>
    <x v="3"/>
    <n v="100.9"/>
    <x v="680"/>
    <x v="32"/>
    <d v="2025-02-04T00:00:00"/>
    <x v="2"/>
    <x v="0"/>
    <x v="1"/>
    <x v="0"/>
    <x v="2"/>
    <x v="1"/>
    <x v="5"/>
    <x v="2"/>
  </r>
  <r>
    <x v="761"/>
    <x v="10"/>
    <x v="1"/>
    <n v="41.8"/>
    <x v="681"/>
    <x v="32"/>
    <d v="2025-02-06T00:00:00"/>
    <x v="1"/>
    <x v="3"/>
    <x v="2"/>
    <x v="0"/>
    <x v="22"/>
    <x v="5"/>
    <x v="5"/>
    <x v="1"/>
  </r>
  <r>
    <x v="762"/>
    <x v="4"/>
    <x v="8"/>
    <n v="28.5"/>
    <x v="416"/>
    <x v="32"/>
    <d v="2025-02-04T00:00:00"/>
    <x v="1"/>
    <x v="2"/>
    <x v="1"/>
    <x v="0"/>
    <x v="3"/>
    <x v="1"/>
    <x v="5"/>
    <x v="1"/>
  </r>
  <r>
    <x v="763"/>
    <x v="7"/>
    <x v="12"/>
    <n v="88.9"/>
    <x v="682"/>
    <x v="32"/>
    <d v="2025-02-05T00:00:00"/>
    <x v="2"/>
    <x v="0"/>
    <x v="2"/>
    <x v="0"/>
    <x v="3"/>
    <x v="2"/>
    <x v="5"/>
    <x v="2"/>
  </r>
  <r>
    <x v="764"/>
    <x v="6"/>
    <x v="0"/>
    <n v="62.5"/>
    <x v="683"/>
    <x v="32"/>
    <d v="2025-02-11T00:00:00"/>
    <x v="2"/>
    <x v="0"/>
    <x v="2"/>
    <x v="0"/>
    <x v="3"/>
    <x v="8"/>
    <x v="5"/>
    <x v="2"/>
  </r>
  <r>
    <x v="765"/>
    <x v="1"/>
    <x v="2"/>
    <n v="46.9"/>
    <x v="684"/>
    <x v="32"/>
    <d v="2025-02-03T00:00:00"/>
    <x v="1"/>
    <x v="0"/>
    <x v="2"/>
    <x v="0"/>
    <x v="3"/>
    <x v="3"/>
    <x v="5"/>
    <x v="1"/>
  </r>
  <r>
    <x v="766"/>
    <x v="8"/>
    <x v="2"/>
    <n v="45"/>
    <x v="340"/>
    <x v="32"/>
    <d v="2025-02-16T00:00:00"/>
    <x v="1"/>
    <x v="1"/>
    <x v="0"/>
    <x v="0"/>
    <x v="3"/>
    <x v="12"/>
    <x v="5"/>
    <x v="1"/>
  </r>
  <r>
    <x v="767"/>
    <x v="6"/>
    <x v="2"/>
    <n v="45.2"/>
    <x v="685"/>
    <x v="32"/>
    <d v="2025-02-04T00:00:00"/>
    <x v="1"/>
    <x v="4"/>
    <x v="2"/>
    <x v="0"/>
    <x v="3"/>
    <x v="1"/>
    <x v="5"/>
    <x v="1"/>
  </r>
  <r>
    <x v="768"/>
    <x v="4"/>
    <x v="1"/>
    <n v="60.1"/>
    <x v="493"/>
    <x v="32"/>
    <d v="2025-02-03T00:00:00"/>
    <x v="2"/>
    <x v="0"/>
    <x v="2"/>
    <x v="0"/>
    <x v="3"/>
    <x v="3"/>
    <x v="5"/>
    <x v="2"/>
  </r>
  <r>
    <x v="769"/>
    <x v="12"/>
    <x v="12"/>
    <n v="118.7"/>
    <x v="686"/>
    <x v="32"/>
    <d v="2025-02-04T00:00:00"/>
    <x v="2"/>
    <x v="0"/>
    <x v="0"/>
    <x v="0"/>
    <x v="3"/>
    <x v="1"/>
    <x v="5"/>
    <x v="2"/>
  </r>
  <r>
    <x v="770"/>
    <x v="9"/>
    <x v="0"/>
    <n v="57.8"/>
    <x v="687"/>
    <x v="32"/>
    <d v="2025-02-11T00:00:00"/>
    <x v="2"/>
    <x v="1"/>
    <x v="0"/>
    <x v="0"/>
    <x v="3"/>
    <x v="8"/>
    <x v="5"/>
    <x v="2"/>
  </r>
  <r>
    <x v="771"/>
    <x v="4"/>
    <x v="0"/>
    <n v="19.5"/>
    <x v="688"/>
    <x v="32"/>
    <d v="2025-02-03T00:00:00"/>
    <x v="1"/>
    <x v="1"/>
    <x v="1"/>
    <x v="0"/>
    <x v="3"/>
    <x v="3"/>
    <x v="5"/>
    <x v="1"/>
  </r>
  <r>
    <x v="772"/>
    <x v="12"/>
    <x v="0"/>
    <n v="42.6"/>
    <x v="440"/>
    <x v="32"/>
    <d v="2025-02-03T00:00:00"/>
    <x v="1"/>
    <x v="0"/>
    <x v="1"/>
    <x v="0"/>
    <x v="3"/>
    <x v="3"/>
    <x v="5"/>
    <x v="1"/>
  </r>
  <r>
    <x v="773"/>
    <x v="6"/>
    <x v="1"/>
    <n v="74.8"/>
    <x v="689"/>
    <x v="32"/>
    <d v="2025-02-03T00:00:00"/>
    <x v="2"/>
    <x v="3"/>
    <x v="2"/>
    <x v="0"/>
    <x v="37"/>
    <x v="3"/>
    <x v="5"/>
    <x v="2"/>
  </r>
  <r>
    <x v="774"/>
    <x v="8"/>
    <x v="2"/>
    <n v="32.5"/>
    <x v="647"/>
    <x v="32"/>
    <d v="2025-02-03T00:00:00"/>
    <x v="1"/>
    <x v="2"/>
    <x v="4"/>
    <x v="0"/>
    <x v="16"/>
    <x v="3"/>
    <x v="5"/>
    <x v="1"/>
  </r>
  <r>
    <x v="775"/>
    <x v="2"/>
    <x v="2"/>
    <n v="60.5"/>
    <x v="690"/>
    <x v="32"/>
    <d v="2025-02-02T00:00:00"/>
    <x v="2"/>
    <x v="1"/>
    <x v="2"/>
    <x v="0"/>
    <x v="25"/>
    <x v="7"/>
    <x v="5"/>
    <x v="2"/>
  </r>
  <r>
    <x v="776"/>
    <x v="1"/>
    <x v="3"/>
    <n v="57.2"/>
    <x v="691"/>
    <x v="32"/>
    <d v="2025-02-04T00:00:00"/>
    <x v="0"/>
    <x v="2"/>
    <x v="0"/>
    <x v="0"/>
    <x v="25"/>
    <x v="1"/>
    <x v="5"/>
    <x v="0"/>
  </r>
  <r>
    <x v="777"/>
    <x v="16"/>
    <x v="1"/>
    <n v="112"/>
    <x v="692"/>
    <x v="32"/>
    <d v="2025-02-03T00:00:00"/>
    <x v="2"/>
    <x v="1"/>
    <x v="1"/>
    <x v="0"/>
    <x v="5"/>
    <x v="3"/>
    <x v="5"/>
    <x v="2"/>
  </r>
  <r>
    <x v="778"/>
    <x v="7"/>
    <x v="7"/>
    <n v="49"/>
    <x v="157"/>
    <x v="32"/>
    <d v="2025-02-03T00:00:00"/>
    <x v="3"/>
    <x v="2"/>
    <x v="1"/>
    <x v="0"/>
    <x v="6"/>
    <x v="3"/>
    <x v="5"/>
    <x v="3"/>
  </r>
  <r>
    <x v="779"/>
    <x v="0"/>
    <x v="1"/>
    <n v="33.700000000000003"/>
    <x v="693"/>
    <x v="32"/>
    <d v="2025-02-06T00:00:00"/>
    <x v="2"/>
    <x v="3"/>
    <x v="0"/>
    <x v="0"/>
    <x v="6"/>
    <x v="5"/>
    <x v="5"/>
    <x v="2"/>
  </r>
  <r>
    <x v="780"/>
    <x v="4"/>
    <x v="2"/>
    <n v="35.6"/>
    <x v="694"/>
    <x v="32"/>
    <d v="2025-02-05T00:00:00"/>
    <x v="2"/>
    <x v="0"/>
    <x v="2"/>
    <x v="0"/>
    <x v="6"/>
    <x v="2"/>
    <x v="5"/>
    <x v="2"/>
  </r>
  <r>
    <x v="781"/>
    <x v="4"/>
    <x v="36"/>
    <n v="30.4"/>
    <x v="695"/>
    <x v="33"/>
    <d v="2025-02-03T00:00:00"/>
    <x v="2"/>
    <x v="0"/>
    <x v="1"/>
    <x v="0"/>
    <x v="7"/>
    <x v="7"/>
    <x v="5"/>
    <x v="2"/>
  </r>
  <r>
    <x v="782"/>
    <x v="10"/>
    <x v="4"/>
    <n v="50.2"/>
    <x v="696"/>
    <x v="33"/>
    <d v="2025-02-04T00:00:00"/>
    <x v="1"/>
    <x v="4"/>
    <x v="0"/>
    <x v="0"/>
    <x v="8"/>
    <x v="3"/>
    <x v="5"/>
    <x v="1"/>
  </r>
  <r>
    <x v="783"/>
    <x v="1"/>
    <x v="1"/>
    <n v="43.7"/>
    <x v="697"/>
    <x v="33"/>
    <d v="2025-02-05T00:00:00"/>
    <x v="2"/>
    <x v="0"/>
    <x v="0"/>
    <x v="0"/>
    <x v="8"/>
    <x v="1"/>
    <x v="5"/>
    <x v="2"/>
  </r>
  <r>
    <x v="784"/>
    <x v="10"/>
    <x v="0"/>
    <n v="33.299999999999997"/>
    <x v="698"/>
    <x v="33"/>
    <d v="2025-02-04T00:00:00"/>
    <x v="2"/>
    <x v="2"/>
    <x v="1"/>
    <x v="0"/>
    <x v="8"/>
    <x v="3"/>
    <x v="5"/>
    <x v="2"/>
  </r>
  <r>
    <x v="785"/>
    <x v="8"/>
    <x v="12"/>
    <n v="15.1"/>
    <x v="266"/>
    <x v="33"/>
    <d v="2025-02-05T00:00:00"/>
    <x v="2"/>
    <x v="4"/>
    <x v="2"/>
    <x v="0"/>
    <x v="8"/>
    <x v="1"/>
    <x v="5"/>
    <x v="2"/>
  </r>
  <r>
    <x v="786"/>
    <x v="6"/>
    <x v="9"/>
    <n v="118.2"/>
    <x v="699"/>
    <x v="33"/>
    <d v="2025-02-04T00:00:00"/>
    <x v="2"/>
    <x v="3"/>
    <x v="4"/>
    <x v="0"/>
    <x v="8"/>
    <x v="3"/>
    <x v="5"/>
    <x v="2"/>
  </r>
  <r>
    <x v="787"/>
    <x v="10"/>
    <x v="2"/>
    <n v="28.9"/>
    <x v="700"/>
    <x v="33"/>
    <d v="2025-02-05T00:00:00"/>
    <x v="2"/>
    <x v="2"/>
    <x v="1"/>
    <x v="0"/>
    <x v="8"/>
    <x v="1"/>
    <x v="5"/>
    <x v="2"/>
  </r>
  <r>
    <x v="788"/>
    <x v="4"/>
    <x v="2"/>
    <n v="55.6"/>
    <x v="701"/>
    <x v="33"/>
    <d v="2025-02-04T00:00:00"/>
    <x v="1"/>
    <x v="0"/>
    <x v="1"/>
    <x v="0"/>
    <x v="8"/>
    <x v="3"/>
    <x v="5"/>
    <x v="1"/>
  </r>
  <r>
    <x v="789"/>
    <x v="9"/>
    <x v="12"/>
    <n v="25.6"/>
    <x v="298"/>
    <x v="33"/>
    <d v="2025-02-05T00:00:00"/>
    <x v="2"/>
    <x v="0"/>
    <x v="1"/>
    <x v="0"/>
    <x v="8"/>
    <x v="1"/>
    <x v="5"/>
    <x v="2"/>
  </r>
  <r>
    <x v="790"/>
    <x v="7"/>
    <x v="2"/>
    <n v="31.3"/>
    <x v="442"/>
    <x v="33"/>
    <d v="2025-02-04T00:00:00"/>
    <x v="1"/>
    <x v="0"/>
    <x v="0"/>
    <x v="0"/>
    <x v="17"/>
    <x v="3"/>
    <x v="5"/>
    <x v="1"/>
  </r>
  <r>
    <x v="791"/>
    <x v="0"/>
    <x v="2"/>
    <n v="22.1"/>
    <x v="702"/>
    <x v="33"/>
    <d v="2025-02-07T00:00:00"/>
    <x v="1"/>
    <x v="0"/>
    <x v="0"/>
    <x v="0"/>
    <x v="17"/>
    <x v="5"/>
    <x v="5"/>
    <x v="1"/>
  </r>
  <r>
    <x v="792"/>
    <x v="2"/>
    <x v="21"/>
    <n v="99.4"/>
    <x v="703"/>
    <x v="33"/>
    <d v="2025-02-04T00:00:00"/>
    <x v="1"/>
    <x v="1"/>
    <x v="0"/>
    <x v="0"/>
    <x v="11"/>
    <x v="3"/>
    <x v="5"/>
    <x v="1"/>
  </r>
  <r>
    <x v="793"/>
    <x v="7"/>
    <x v="13"/>
    <n v="66.599999999999994"/>
    <x v="704"/>
    <x v="33"/>
    <d v="2025-02-04T00:00:00"/>
    <x v="2"/>
    <x v="0"/>
    <x v="0"/>
    <x v="0"/>
    <x v="11"/>
    <x v="3"/>
    <x v="5"/>
    <x v="2"/>
  </r>
  <r>
    <x v="794"/>
    <x v="8"/>
    <x v="1"/>
    <n v="22.6"/>
    <x v="705"/>
    <x v="33"/>
    <d v="2025-02-06T00:00:00"/>
    <x v="1"/>
    <x v="0"/>
    <x v="0"/>
    <x v="0"/>
    <x v="11"/>
    <x v="2"/>
    <x v="5"/>
    <x v="1"/>
  </r>
  <r>
    <x v="795"/>
    <x v="2"/>
    <x v="16"/>
    <n v="66.8"/>
    <x v="706"/>
    <x v="33"/>
    <d v="2025-02-04T00:00:00"/>
    <x v="2"/>
    <x v="0"/>
    <x v="4"/>
    <x v="0"/>
    <x v="13"/>
    <x v="3"/>
    <x v="5"/>
    <x v="2"/>
  </r>
  <r>
    <x v="796"/>
    <x v="0"/>
    <x v="12"/>
    <n v="20.8"/>
    <x v="707"/>
    <x v="33"/>
    <d v="2025-02-10T00:00:00"/>
    <x v="1"/>
    <x v="1"/>
    <x v="4"/>
    <x v="0"/>
    <x v="1"/>
    <x v="6"/>
    <x v="5"/>
    <x v="1"/>
  </r>
  <r>
    <x v="797"/>
    <x v="2"/>
    <x v="3"/>
    <n v="102.5"/>
    <x v="708"/>
    <x v="33"/>
    <d v="2025-02-04T00:00:00"/>
    <x v="2"/>
    <x v="4"/>
    <x v="2"/>
    <x v="0"/>
    <x v="3"/>
    <x v="3"/>
    <x v="5"/>
    <x v="2"/>
  </r>
  <r>
    <x v="798"/>
    <x v="0"/>
    <x v="16"/>
    <n v="24.8"/>
    <x v="709"/>
    <x v="33"/>
    <d v="2025-02-07T00:00:00"/>
    <x v="2"/>
    <x v="0"/>
    <x v="0"/>
    <x v="0"/>
    <x v="3"/>
    <x v="5"/>
    <x v="5"/>
    <x v="2"/>
  </r>
  <r>
    <x v="799"/>
    <x v="4"/>
    <x v="37"/>
    <n v="31.4"/>
    <x v="710"/>
    <x v="33"/>
    <d v="2025-02-04T00:00:00"/>
    <x v="2"/>
    <x v="3"/>
    <x v="0"/>
    <x v="0"/>
    <x v="3"/>
    <x v="3"/>
    <x v="5"/>
    <x v="2"/>
  </r>
  <r>
    <x v="800"/>
    <x v="9"/>
    <x v="9"/>
    <n v="59.3"/>
    <x v="711"/>
    <x v="33"/>
    <d v="2025-02-06T00:00:00"/>
    <x v="1"/>
    <x v="1"/>
    <x v="2"/>
    <x v="0"/>
    <x v="43"/>
    <x v="2"/>
    <x v="5"/>
    <x v="1"/>
  </r>
  <r>
    <x v="801"/>
    <x v="11"/>
    <x v="13"/>
    <n v="39"/>
    <x v="540"/>
    <x v="33"/>
    <d v="2025-02-06T00:00:00"/>
    <x v="1"/>
    <x v="1"/>
    <x v="0"/>
    <x v="0"/>
    <x v="6"/>
    <x v="2"/>
    <x v="5"/>
    <x v="1"/>
  </r>
  <r>
    <x v="802"/>
    <x v="5"/>
    <x v="13"/>
    <n v="98.6"/>
    <x v="712"/>
    <x v="33"/>
    <d v="2025-02-05T00:00:00"/>
    <x v="2"/>
    <x v="1"/>
    <x v="0"/>
    <x v="0"/>
    <x v="6"/>
    <x v="1"/>
    <x v="5"/>
    <x v="2"/>
  </r>
  <r>
    <x v="803"/>
    <x v="8"/>
    <x v="0"/>
    <n v="20"/>
    <x v="614"/>
    <x v="34"/>
    <d v="2025-02-05T00:00:00"/>
    <x v="1"/>
    <x v="3"/>
    <x v="2"/>
    <x v="0"/>
    <x v="8"/>
    <x v="3"/>
    <x v="5"/>
    <x v="1"/>
  </r>
  <r>
    <x v="804"/>
    <x v="1"/>
    <x v="1"/>
    <n v="42.9"/>
    <x v="550"/>
    <x v="34"/>
    <d v="2025-02-06T00:00:00"/>
    <x v="2"/>
    <x v="0"/>
    <x v="2"/>
    <x v="0"/>
    <x v="8"/>
    <x v="1"/>
    <x v="5"/>
    <x v="2"/>
  </r>
  <r>
    <x v="805"/>
    <x v="7"/>
    <x v="3"/>
    <n v="55.6"/>
    <x v="713"/>
    <x v="34"/>
    <d v="2025-02-06T00:00:00"/>
    <x v="2"/>
    <x v="2"/>
    <x v="1"/>
    <x v="0"/>
    <x v="8"/>
    <x v="1"/>
    <x v="5"/>
    <x v="2"/>
  </r>
  <r>
    <x v="806"/>
    <x v="8"/>
    <x v="12"/>
    <n v="19.2"/>
    <x v="714"/>
    <x v="34"/>
    <d v="2025-02-09T00:00:00"/>
    <x v="2"/>
    <x v="0"/>
    <x v="0"/>
    <x v="0"/>
    <x v="41"/>
    <x v="0"/>
    <x v="5"/>
    <x v="2"/>
  </r>
  <r>
    <x v="807"/>
    <x v="5"/>
    <x v="1"/>
    <n v="28.8"/>
    <x v="636"/>
    <x v="34"/>
    <d v="2025-02-06T00:00:00"/>
    <x v="1"/>
    <x v="1"/>
    <x v="0"/>
    <x v="0"/>
    <x v="18"/>
    <x v="1"/>
    <x v="5"/>
    <x v="1"/>
  </r>
  <r>
    <x v="808"/>
    <x v="4"/>
    <x v="0"/>
    <n v="29.7"/>
    <x v="47"/>
    <x v="34"/>
    <d v="2025-02-06T00:00:00"/>
    <x v="2"/>
    <x v="2"/>
    <x v="4"/>
    <x v="0"/>
    <x v="20"/>
    <x v="1"/>
    <x v="5"/>
    <x v="2"/>
  </r>
  <r>
    <x v="809"/>
    <x v="6"/>
    <x v="13"/>
    <n v="63.3"/>
    <x v="715"/>
    <x v="34"/>
    <d v="2025-02-05T00:00:00"/>
    <x v="0"/>
    <x v="0"/>
    <x v="2"/>
    <x v="0"/>
    <x v="21"/>
    <x v="3"/>
    <x v="5"/>
    <x v="0"/>
  </r>
  <r>
    <x v="810"/>
    <x v="4"/>
    <x v="0"/>
    <n v="46"/>
    <x v="716"/>
    <x v="34"/>
    <d v="2025-02-05T00:00:00"/>
    <x v="2"/>
    <x v="0"/>
    <x v="2"/>
    <x v="0"/>
    <x v="21"/>
    <x v="3"/>
    <x v="5"/>
    <x v="2"/>
  </r>
  <r>
    <x v="811"/>
    <x v="11"/>
    <x v="2"/>
    <n v="38"/>
    <x v="717"/>
    <x v="34"/>
    <d v="2025-02-06T00:00:00"/>
    <x v="2"/>
    <x v="1"/>
    <x v="2"/>
    <x v="0"/>
    <x v="21"/>
    <x v="1"/>
    <x v="5"/>
    <x v="2"/>
  </r>
  <r>
    <x v="812"/>
    <x v="10"/>
    <x v="15"/>
    <n v="34.6"/>
    <x v="327"/>
    <x v="34"/>
    <d v="2025-02-06T00:00:00"/>
    <x v="2"/>
    <x v="0"/>
    <x v="1"/>
    <x v="0"/>
    <x v="21"/>
    <x v="1"/>
    <x v="5"/>
    <x v="2"/>
  </r>
  <r>
    <x v="813"/>
    <x v="3"/>
    <x v="7"/>
    <n v="79.7"/>
    <x v="718"/>
    <x v="34"/>
    <d v="2025-02-05T00:00:00"/>
    <x v="2"/>
    <x v="4"/>
    <x v="1"/>
    <x v="0"/>
    <x v="21"/>
    <x v="3"/>
    <x v="5"/>
    <x v="2"/>
  </r>
  <r>
    <x v="814"/>
    <x v="8"/>
    <x v="8"/>
    <n v="30.5"/>
    <x v="719"/>
    <x v="34"/>
    <d v="2025-02-08T00:00:00"/>
    <x v="1"/>
    <x v="3"/>
    <x v="0"/>
    <x v="0"/>
    <x v="1"/>
    <x v="5"/>
    <x v="5"/>
    <x v="1"/>
  </r>
  <r>
    <x v="815"/>
    <x v="0"/>
    <x v="1"/>
    <n v="20.8"/>
    <x v="480"/>
    <x v="34"/>
    <d v="2025-02-05T00:00:00"/>
    <x v="2"/>
    <x v="0"/>
    <x v="0"/>
    <x v="0"/>
    <x v="2"/>
    <x v="3"/>
    <x v="5"/>
    <x v="2"/>
  </r>
  <r>
    <x v="816"/>
    <x v="11"/>
    <x v="3"/>
    <n v="48.5"/>
    <x v="720"/>
    <x v="34"/>
    <d v="2025-02-08T00:00:00"/>
    <x v="2"/>
    <x v="2"/>
    <x v="2"/>
    <x v="0"/>
    <x v="2"/>
    <x v="5"/>
    <x v="5"/>
    <x v="2"/>
  </r>
  <r>
    <x v="817"/>
    <x v="2"/>
    <x v="12"/>
    <n v="61.8"/>
    <x v="721"/>
    <x v="34"/>
    <d v="2025-02-08T00:00:00"/>
    <x v="2"/>
    <x v="4"/>
    <x v="0"/>
    <x v="0"/>
    <x v="22"/>
    <x v="5"/>
    <x v="5"/>
    <x v="2"/>
  </r>
  <r>
    <x v="818"/>
    <x v="10"/>
    <x v="0"/>
    <n v="46.1"/>
    <x v="722"/>
    <x v="34"/>
    <d v="2025-02-05T00:00:00"/>
    <x v="3"/>
    <x v="2"/>
    <x v="0"/>
    <x v="0"/>
    <x v="3"/>
    <x v="3"/>
    <x v="5"/>
    <x v="3"/>
  </r>
  <r>
    <x v="819"/>
    <x v="4"/>
    <x v="13"/>
    <n v="44"/>
    <x v="723"/>
    <x v="34"/>
    <d v="2025-02-05T00:00:00"/>
    <x v="2"/>
    <x v="0"/>
    <x v="0"/>
    <x v="0"/>
    <x v="3"/>
    <x v="3"/>
    <x v="5"/>
    <x v="2"/>
  </r>
  <r>
    <x v="820"/>
    <x v="18"/>
    <x v="1"/>
    <n v="95.7"/>
    <x v="724"/>
    <x v="34"/>
    <d v="2025-02-10T00:00:00"/>
    <x v="2"/>
    <x v="3"/>
    <x v="2"/>
    <x v="0"/>
    <x v="3"/>
    <x v="4"/>
    <x v="5"/>
    <x v="2"/>
  </r>
  <r>
    <x v="821"/>
    <x v="7"/>
    <x v="9"/>
    <n v="46.4"/>
    <x v="615"/>
    <x v="34"/>
    <d v="2025-02-07T00:00:00"/>
    <x v="2"/>
    <x v="0"/>
    <x v="0"/>
    <x v="0"/>
    <x v="3"/>
    <x v="2"/>
    <x v="5"/>
    <x v="2"/>
  </r>
  <r>
    <x v="822"/>
    <x v="6"/>
    <x v="1"/>
    <n v="47.2"/>
    <x v="725"/>
    <x v="34"/>
    <d v="2025-02-06T00:00:00"/>
    <x v="2"/>
    <x v="0"/>
    <x v="2"/>
    <x v="0"/>
    <x v="3"/>
    <x v="1"/>
    <x v="5"/>
    <x v="2"/>
  </r>
  <r>
    <x v="823"/>
    <x v="7"/>
    <x v="1"/>
    <n v="58.6"/>
    <x v="726"/>
    <x v="34"/>
    <d v="2025-02-05T00:00:00"/>
    <x v="2"/>
    <x v="2"/>
    <x v="1"/>
    <x v="0"/>
    <x v="3"/>
    <x v="3"/>
    <x v="5"/>
    <x v="2"/>
  </r>
  <r>
    <x v="824"/>
    <x v="4"/>
    <x v="2"/>
    <n v="57"/>
    <x v="727"/>
    <x v="34"/>
    <d v="2025-02-05T00:00:00"/>
    <x v="1"/>
    <x v="0"/>
    <x v="2"/>
    <x v="0"/>
    <x v="3"/>
    <x v="3"/>
    <x v="5"/>
    <x v="1"/>
  </r>
  <r>
    <x v="825"/>
    <x v="8"/>
    <x v="12"/>
    <n v="28.9"/>
    <x v="446"/>
    <x v="34"/>
    <d v="2025-02-08T00:00:00"/>
    <x v="1"/>
    <x v="2"/>
    <x v="0"/>
    <x v="0"/>
    <x v="3"/>
    <x v="5"/>
    <x v="5"/>
    <x v="1"/>
  </r>
  <r>
    <x v="826"/>
    <x v="12"/>
    <x v="9"/>
    <n v="60.7"/>
    <x v="728"/>
    <x v="34"/>
    <d v="2025-02-08T00:00:00"/>
    <x v="0"/>
    <x v="1"/>
    <x v="1"/>
    <x v="0"/>
    <x v="3"/>
    <x v="5"/>
    <x v="5"/>
    <x v="0"/>
  </r>
  <r>
    <x v="827"/>
    <x v="6"/>
    <x v="9"/>
    <n v="60.8"/>
    <x v="729"/>
    <x v="34"/>
    <d v="2025-02-08T00:00:00"/>
    <x v="1"/>
    <x v="0"/>
    <x v="1"/>
    <x v="0"/>
    <x v="3"/>
    <x v="5"/>
    <x v="5"/>
    <x v="1"/>
  </r>
  <r>
    <x v="828"/>
    <x v="6"/>
    <x v="9"/>
    <n v="64.599999999999994"/>
    <x v="730"/>
    <x v="34"/>
    <d v="2025-02-05T00:00:00"/>
    <x v="2"/>
    <x v="3"/>
    <x v="0"/>
    <x v="0"/>
    <x v="3"/>
    <x v="3"/>
    <x v="5"/>
    <x v="2"/>
  </r>
  <r>
    <x v="829"/>
    <x v="8"/>
    <x v="0"/>
    <n v="21.9"/>
    <x v="731"/>
    <x v="34"/>
    <d v="2025-02-07T00:00:00"/>
    <x v="1"/>
    <x v="1"/>
    <x v="2"/>
    <x v="0"/>
    <x v="4"/>
    <x v="2"/>
    <x v="5"/>
    <x v="1"/>
  </r>
  <r>
    <x v="830"/>
    <x v="4"/>
    <x v="4"/>
    <n v="33.4"/>
    <x v="732"/>
    <x v="34"/>
    <d v="2025-02-06T00:00:00"/>
    <x v="2"/>
    <x v="0"/>
    <x v="0"/>
    <x v="0"/>
    <x v="23"/>
    <x v="1"/>
    <x v="5"/>
    <x v="2"/>
  </r>
  <r>
    <x v="831"/>
    <x v="2"/>
    <x v="0"/>
    <n v="51.7"/>
    <x v="733"/>
    <x v="34"/>
    <d v="2025-02-05T00:00:00"/>
    <x v="0"/>
    <x v="0"/>
    <x v="0"/>
    <x v="0"/>
    <x v="6"/>
    <x v="3"/>
    <x v="5"/>
    <x v="0"/>
  </r>
  <r>
    <x v="832"/>
    <x v="1"/>
    <x v="12"/>
    <n v="84.9"/>
    <x v="734"/>
    <x v="34"/>
    <d v="2025-02-05T00:00:00"/>
    <x v="2"/>
    <x v="1"/>
    <x v="1"/>
    <x v="0"/>
    <x v="6"/>
    <x v="3"/>
    <x v="5"/>
    <x v="2"/>
  </r>
  <r>
    <x v="833"/>
    <x v="1"/>
    <x v="5"/>
    <n v="62.3"/>
    <x v="735"/>
    <x v="34"/>
    <d v="2025-02-05T00:00:00"/>
    <x v="2"/>
    <x v="2"/>
    <x v="2"/>
    <x v="0"/>
    <x v="7"/>
    <x v="3"/>
    <x v="5"/>
    <x v="2"/>
  </r>
  <r>
    <x v="834"/>
    <x v="4"/>
    <x v="0"/>
    <n v="50.7"/>
    <x v="163"/>
    <x v="34"/>
    <d v="2025-02-06T00:00:00"/>
    <x v="1"/>
    <x v="2"/>
    <x v="2"/>
    <x v="0"/>
    <x v="8"/>
    <x v="1"/>
    <x v="5"/>
    <x v="1"/>
  </r>
  <r>
    <x v="835"/>
    <x v="18"/>
    <x v="0"/>
    <n v="39.5"/>
    <x v="736"/>
    <x v="34"/>
    <d v="2025-02-05T00:00:00"/>
    <x v="1"/>
    <x v="4"/>
    <x v="1"/>
    <x v="0"/>
    <x v="8"/>
    <x v="3"/>
    <x v="5"/>
    <x v="1"/>
  </r>
  <r>
    <x v="836"/>
    <x v="12"/>
    <x v="2"/>
    <n v="30.9"/>
    <x v="737"/>
    <x v="34"/>
    <d v="2025-02-05T00:00:00"/>
    <x v="0"/>
    <x v="4"/>
    <x v="2"/>
    <x v="0"/>
    <x v="8"/>
    <x v="3"/>
    <x v="5"/>
    <x v="0"/>
  </r>
  <r>
    <x v="837"/>
    <x v="1"/>
    <x v="3"/>
    <n v="36.4"/>
    <x v="133"/>
    <x v="34"/>
    <d v="2025-02-07T00:00:00"/>
    <x v="2"/>
    <x v="0"/>
    <x v="2"/>
    <x v="0"/>
    <x v="8"/>
    <x v="2"/>
    <x v="5"/>
    <x v="2"/>
  </r>
  <r>
    <x v="838"/>
    <x v="6"/>
    <x v="8"/>
    <n v="105.6"/>
    <x v="738"/>
    <x v="34"/>
    <d v="2025-02-14T00:00:00"/>
    <x v="2"/>
    <x v="0"/>
    <x v="0"/>
    <x v="0"/>
    <x v="8"/>
    <x v="14"/>
    <x v="5"/>
    <x v="2"/>
  </r>
  <r>
    <x v="839"/>
    <x v="8"/>
    <x v="1"/>
    <n v="22.1"/>
    <x v="573"/>
    <x v="34"/>
    <d v="2025-02-05T00:00:00"/>
    <x v="2"/>
    <x v="0"/>
    <x v="2"/>
    <x v="0"/>
    <x v="17"/>
    <x v="3"/>
    <x v="5"/>
    <x v="2"/>
  </r>
  <r>
    <x v="840"/>
    <x v="0"/>
    <x v="2"/>
    <n v="22.6"/>
    <x v="418"/>
    <x v="34"/>
    <d v="2025-02-05T00:00:00"/>
    <x v="2"/>
    <x v="2"/>
    <x v="0"/>
    <x v="0"/>
    <x v="17"/>
    <x v="3"/>
    <x v="5"/>
    <x v="2"/>
  </r>
  <r>
    <x v="841"/>
    <x v="10"/>
    <x v="13"/>
    <n v="26.3"/>
    <x v="739"/>
    <x v="34"/>
    <d v="2025-02-04T00:00:00"/>
    <x v="2"/>
    <x v="2"/>
    <x v="0"/>
    <x v="0"/>
    <x v="9"/>
    <x v="7"/>
    <x v="5"/>
    <x v="2"/>
  </r>
  <r>
    <x v="842"/>
    <x v="1"/>
    <x v="12"/>
    <n v="37.799999999999997"/>
    <x v="277"/>
    <x v="34"/>
    <d v="2025-02-05T00:00:00"/>
    <x v="2"/>
    <x v="0"/>
    <x v="2"/>
    <x v="0"/>
    <x v="11"/>
    <x v="3"/>
    <x v="5"/>
    <x v="2"/>
  </r>
  <r>
    <x v="843"/>
    <x v="6"/>
    <x v="14"/>
    <n v="96"/>
    <x v="740"/>
    <x v="34"/>
    <d v="2025-02-07T00:00:00"/>
    <x v="2"/>
    <x v="4"/>
    <x v="1"/>
    <x v="0"/>
    <x v="18"/>
    <x v="2"/>
    <x v="5"/>
    <x v="2"/>
  </r>
  <r>
    <x v="844"/>
    <x v="1"/>
    <x v="0"/>
    <n v="83.6"/>
    <x v="681"/>
    <x v="34"/>
    <d v="2025-02-07T00:00:00"/>
    <x v="2"/>
    <x v="2"/>
    <x v="1"/>
    <x v="0"/>
    <x v="19"/>
    <x v="2"/>
    <x v="5"/>
    <x v="2"/>
  </r>
  <r>
    <x v="845"/>
    <x v="2"/>
    <x v="13"/>
    <n v="72.599999999999994"/>
    <x v="349"/>
    <x v="34"/>
    <d v="2025-02-05T00:00:00"/>
    <x v="2"/>
    <x v="0"/>
    <x v="0"/>
    <x v="0"/>
    <x v="21"/>
    <x v="3"/>
    <x v="5"/>
    <x v="2"/>
  </r>
  <r>
    <x v="846"/>
    <x v="5"/>
    <x v="28"/>
    <n v="69.099999999999994"/>
    <x v="741"/>
    <x v="35"/>
    <d v="2025-02-11T00:00:00"/>
    <x v="1"/>
    <x v="0"/>
    <x v="2"/>
    <x v="0"/>
    <x v="21"/>
    <x v="4"/>
    <x v="5"/>
    <x v="1"/>
  </r>
  <r>
    <x v="847"/>
    <x v="4"/>
    <x v="1"/>
    <n v="22.6"/>
    <x v="705"/>
    <x v="35"/>
    <d v="2025-02-07T00:00:00"/>
    <x v="2"/>
    <x v="1"/>
    <x v="2"/>
    <x v="0"/>
    <x v="21"/>
    <x v="1"/>
    <x v="5"/>
    <x v="2"/>
  </r>
  <r>
    <x v="848"/>
    <x v="6"/>
    <x v="1"/>
    <n v="45.3"/>
    <x v="742"/>
    <x v="35"/>
    <d v="2025-02-09T00:00:00"/>
    <x v="1"/>
    <x v="4"/>
    <x v="2"/>
    <x v="0"/>
    <x v="21"/>
    <x v="5"/>
    <x v="5"/>
    <x v="1"/>
  </r>
  <r>
    <x v="849"/>
    <x v="2"/>
    <x v="1"/>
    <n v="115.1"/>
    <x v="743"/>
    <x v="35"/>
    <d v="2025-02-06T00:00:00"/>
    <x v="2"/>
    <x v="1"/>
    <x v="0"/>
    <x v="0"/>
    <x v="1"/>
    <x v="3"/>
    <x v="5"/>
    <x v="2"/>
  </r>
  <r>
    <x v="850"/>
    <x v="18"/>
    <x v="12"/>
    <n v="79"/>
    <x v="744"/>
    <x v="35"/>
    <d v="2025-02-07T00:00:00"/>
    <x v="1"/>
    <x v="2"/>
    <x v="4"/>
    <x v="0"/>
    <x v="1"/>
    <x v="1"/>
    <x v="5"/>
    <x v="1"/>
  </r>
  <r>
    <x v="851"/>
    <x v="6"/>
    <x v="9"/>
    <n v="52.8"/>
    <x v="723"/>
    <x v="35"/>
    <d v="2025-02-06T00:00:00"/>
    <x v="2"/>
    <x v="0"/>
    <x v="0"/>
    <x v="0"/>
    <x v="42"/>
    <x v="3"/>
    <x v="5"/>
    <x v="2"/>
  </r>
  <r>
    <x v="852"/>
    <x v="8"/>
    <x v="1"/>
    <n v="34.1"/>
    <x v="745"/>
    <x v="35"/>
    <d v="2025-02-06T00:00:00"/>
    <x v="1"/>
    <x v="3"/>
    <x v="2"/>
    <x v="0"/>
    <x v="44"/>
    <x v="3"/>
    <x v="5"/>
    <x v="1"/>
  </r>
  <r>
    <x v="853"/>
    <x v="6"/>
    <x v="9"/>
    <n v="107.9"/>
    <x v="746"/>
    <x v="35"/>
    <d v="2025-02-05T00:00:00"/>
    <x v="2"/>
    <x v="0"/>
    <x v="2"/>
    <x v="0"/>
    <x v="50"/>
    <x v="7"/>
    <x v="5"/>
    <x v="2"/>
  </r>
  <r>
    <x v="854"/>
    <x v="8"/>
    <x v="15"/>
    <n v="48.5"/>
    <x v="747"/>
    <x v="35"/>
    <d v="2025-02-05T00:00:00"/>
    <x v="1"/>
    <x v="2"/>
    <x v="2"/>
    <x v="0"/>
    <x v="3"/>
    <x v="7"/>
    <x v="5"/>
    <x v="1"/>
  </r>
  <r>
    <x v="855"/>
    <x v="5"/>
    <x v="2"/>
    <n v="34.700000000000003"/>
    <x v="748"/>
    <x v="35"/>
    <d v="2025-02-06T00:00:00"/>
    <x v="0"/>
    <x v="4"/>
    <x v="1"/>
    <x v="0"/>
    <x v="3"/>
    <x v="3"/>
    <x v="5"/>
    <x v="0"/>
  </r>
  <r>
    <x v="856"/>
    <x v="8"/>
    <x v="0"/>
    <n v="16.8"/>
    <x v="749"/>
    <x v="35"/>
    <d v="2025-02-07T00:00:00"/>
    <x v="2"/>
    <x v="3"/>
    <x v="0"/>
    <x v="0"/>
    <x v="3"/>
    <x v="1"/>
    <x v="5"/>
    <x v="2"/>
  </r>
  <r>
    <x v="857"/>
    <x v="8"/>
    <x v="13"/>
    <n v="18.3"/>
    <x v="17"/>
    <x v="35"/>
    <d v="2025-02-08T00:00:00"/>
    <x v="2"/>
    <x v="0"/>
    <x v="0"/>
    <x v="0"/>
    <x v="3"/>
    <x v="2"/>
    <x v="5"/>
    <x v="2"/>
  </r>
  <r>
    <x v="858"/>
    <x v="18"/>
    <x v="2"/>
    <n v="55.9"/>
    <x v="750"/>
    <x v="35"/>
    <d v="2025-02-11T00:00:00"/>
    <x v="1"/>
    <x v="3"/>
    <x v="1"/>
    <x v="0"/>
    <x v="3"/>
    <x v="4"/>
    <x v="5"/>
    <x v="1"/>
  </r>
  <r>
    <x v="859"/>
    <x v="8"/>
    <x v="2"/>
    <n v="39.200000000000003"/>
    <x v="557"/>
    <x v="35"/>
    <d v="2025-02-07T00:00:00"/>
    <x v="2"/>
    <x v="0"/>
    <x v="1"/>
    <x v="0"/>
    <x v="3"/>
    <x v="1"/>
    <x v="5"/>
    <x v="2"/>
  </r>
  <r>
    <x v="860"/>
    <x v="15"/>
    <x v="12"/>
    <n v="66.5"/>
    <x v="751"/>
    <x v="35"/>
    <d v="2025-02-07T00:00:00"/>
    <x v="0"/>
    <x v="3"/>
    <x v="1"/>
    <x v="0"/>
    <x v="3"/>
    <x v="1"/>
    <x v="5"/>
    <x v="0"/>
  </r>
  <r>
    <x v="861"/>
    <x v="6"/>
    <x v="13"/>
    <n v="52.1"/>
    <x v="752"/>
    <x v="35"/>
    <d v="2025-02-07T00:00:00"/>
    <x v="1"/>
    <x v="1"/>
    <x v="1"/>
    <x v="0"/>
    <x v="16"/>
    <x v="1"/>
    <x v="5"/>
    <x v="1"/>
  </r>
  <r>
    <x v="862"/>
    <x v="8"/>
    <x v="1"/>
    <n v="19"/>
    <x v="753"/>
    <x v="35"/>
    <d v="2025-02-06T00:00:00"/>
    <x v="1"/>
    <x v="4"/>
    <x v="2"/>
    <x v="0"/>
    <x v="6"/>
    <x v="3"/>
    <x v="5"/>
    <x v="1"/>
  </r>
  <r>
    <x v="863"/>
    <x v="7"/>
    <x v="2"/>
    <n v="84.8"/>
    <x v="754"/>
    <x v="35"/>
    <d v="2025-02-07T00:00:00"/>
    <x v="2"/>
    <x v="2"/>
    <x v="0"/>
    <x v="0"/>
    <x v="8"/>
    <x v="1"/>
    <x v="5"/>
    <x v="2"/>
  </r>
  <r>
    <x v="864"/>
    <x v="2"/>
    <x v="12"/>
    <n v="63.9"/>
    <x v="755"/>
    <x v="35"/>
    <d v="2025-02-08T00:00:00"/>
    <x v="2"/>
    <x v="0"/>
    <x v="0"/>
    <x v="0"/>
    <x v="8"/>
    <x v="2"/>
    <x v="5"/>
    <x v="2"/>
  </r>
  <r>
    <x v="865"/>
    <x v="2"/>
    <x v="2"/>
    <n v="65.5"/>
    <x v="756"/>
    <x v="35"/>
    <d v="2025-02-05T00:00:00"/>
    <x v="2"/>
    <x v="1"/>
    <x v="1"/>
    <x v="0"/>
    <x v="8"/>
    <x v="7"/>
    <x v="5"/>
    <x v="2"/>
  </r>
  <r>
    <x v="866"/>
    <x v="12"/>
    <x v="1"/>
    <n v="116.2"/>
    <x v="757"/>
    <x v="35"/>
    <d v="2025-02-11T00:00:00"/>
    <x v="1"/>
    <x v="3"/>
    <x v="0"/>
    <x v="0"/>
    <x v="17"/>
    <x v="4"/>
    <x v="5"/>
    <x v="1"/>
  </r>
  <r>
    <x v="867"/>
    <x v="10"/>
    <x v="12"/>
    <n v="22.9"/>
    <x v="758"/>
    <x v="35"/>
    <d v="2025-02-07T00:00:00"/>
    <x v="2"/>
    <x v="2"/>
    <x v="1"/>
    <x v="0"/>
    <x v="38"/>
    <x v="1"/>
    <x v="5"/>
    <x v="2"/>
  </r>
  <r>
    <x v="868"/>
    <x v="10"/>
    <x v="2"/>
    <n v="53.7"/>
    <x v="759"/>
    <x v="35"/>
    <d v="2025-02-06T00:00:00"/>
    <x v="1"/>
    <x v="0"/>
    <x v="4"/>
    <x v="0"/>
    <x v="18"/>
    <x v="3"/>
    <x v="5"/>
    <x v="1"/>
  </r>
  <r>
    <x v="869"/>
    <x v="6"/>
    <x v="9"/>
    <n v="43.2"/>
    <x v="760"/>
    <x v="35"/>
    <d v="2025-02-07T00:00:00"/>
    <x v="2"/>
    <x v="0"/>
    <x v="0"/>
    <x v="0"/>
    <x v="19"/>
    <x v="1"/>
    <x v="5"/>
    <x v="2"/>
  </r>
  <r>
    <x v="870"/>
    <x v="1"/>
    <x v="2"/>
    <n v="84.5"/>
    <x v="103"/>
    <x v="35"/>
    <d v="2025-02-07T00:00:00"/>
    <x v="1"/>
    <x v="2"/>
    <x v="2"/>
    <x v="0"/>
    <x v="51"/>
    <x v="1"/>
    <x v="5"/>
    <x v="1"/>
  </r>
  <r>
    <x v="871"/>
    <x v="3"/>
    <x v="1"/>
    <n v="42.2"/>
    <x v="533"/>
    <x v="35"/>
    <d v="2025-02-06T00:00:00"/>
    <x v="2"/>
    <x v="1"/>
    <x v="2"/>
    <x v="0"/>
    <x v="1"/>
    <x v="3"/>
    <x v="5"/>
    <x v="2"/>
  </r>
  <r>
    <x v="872"/>
    <x v="2"/>
    <x v="13"/>
    <n v="94.7"/>
    <x v="761"/>
    <x v="35"/>
    <d v="2025-02-08T00:00:00"/>
    <x v="2"/>
    <x v="1"/>
    <x v="2"/>
    <x v="0"/>
    <x v="2"/>
    <x v="2"/>
    <x v="5"/>
    <x v="2"/>
  </r>
  <r>
    <x v="873"/>
    <x v="8"/>
    <x v="16"/>
    <n v="16.7"/>
    <x v="182"/>
    <x v="35"/>
    <d v="2025-02-17T00:00:00"/>
    <x v="2"/>
    <x v="0"/>
    <x v="2"/>
    <x v="0"/>
    <x v="2"/>
    <x v="13"/>
    <x v="5"/>
    <x v="2"/>
  </r>
  <r>
    <x v="874"/>
    <x v="2"/>
    <x v="1"/>
    <n v="83.6"/>
    <x v="762"/>
    <x v="35"/>
    <d v="2025-02-11T00:00:00"/>
    <x v="2"/>
    <x v="1"/>
    <x v="0"/>
    <x v="0"/>
    <x v="3"/>
    <x v="4"/>
    <x v="5"/>
    <x v="2"/>
  </r>
  <r>
    <x v="875"/>
    <x v="7"/>
    <x v="13"/>
    <n v="33.6"/>
    <x v="763"/>
    <x v="36"/>
    <d v="2025-02-07T00:00:00"/>
    <x v="2"/>
    <x v="3"/>
    <x v="0"/>
    <x v="0"/>
    <x v="3"/>
    <x v="3"/>
    <x v="5"/>
    <x v="2"/>
  </r>
  <r>
    <x v="876"/>
    <x v="7"/>
    <x v="1"/>
    <n v="64.7"/>
    <x v="385"/>
    <x v="36"/>
    <d v="2025-02-08T00:00:00"/>
    <x v="1"/>
    <x v="1"/>
    <x v="2"/>
    <x v="0"/>
    <x v="3"/>
    <x v="1"/>
    <x v="5"/>
    <x v="1"/>
  </r>
  <r>
    <x v="877"/>
    <x v="0"/>
    <x v="2"/>
    <n v="15.7"/>
    <x v="179"/>
    <x v="36"/>
    <d v="2025-02-12T00:00:00"/>
    <x v="2"/>
    <x v="0"/>
    <x v="0"/>
    <x v="0"/>
    <x v="3"/>
    <x v="4"/>
    <x v="5"/>
    <x v="2"/>
  </r>
  <r>
    <x v="878"/>
    <x v="15"/>
    <x v="13"/>
    <n v="49.4"/>
    <x v="764"/>
    <x v="36"/>
    <d v="2025-02-06T00:00:00"/>
    <x v="1"/>
    <x v="1"/>
    <x v="0"/>
    <x v="0"/>
    <x v="3"/>
    <x v="7"/>
    <x v="5"/>
    <x v="1"/>
  </r>
  <r>
    <x v="879"/>
    <x v="10"/>
    <x v="13"/>
    <n v="37"/>
    <x v="765"/>
    <x v="36"/>
    <d v="2025-02-09T00:00:00"/>
    <x v="2"/>
    <x v="1"/>
    <x v="2"/>
    <x v="0"/>
    <x v="3"/>
    <x v="2"/>
    <x v="5"/>
    <x v="2"/>
  </r>
  <r>
    <x v="880"/>
    <x v="2"/>
    <x v="1"/>
    <n v="83.7"/>
    <x v="589"/>
    <x v="36"/>
    <d v="2025-02-08T00:00:00"/>
    <x v="2"/>
    <x v="3"/>
    <x v="2"/>
    <x v="0"/>
    <x v="3"/>
    <x v="1"/>
    <x v="5"/>
    <x v="2"/>
  </r>
  <r>
    <x v="881"/>
    <x v="1"/>
    <x v="9"/>
    <n v="35.1"/>
    <x v="766"/>
    <x v="36"/>
    <d v="2025-02-07T00:00:00"/>
    <x v="2"/>
    <x v="0"/>
    <x v="0"/>
    <x v="0"/>
    <x v="3"/>
    <x v="3"/>
    <x v="5"/>
    <x v="2"/>
  </r>
  <r>
    <x v="882"/>
    <x v="16"/>
    <x v="8"/>
    <n v="74"/>
    <x v="767"/>
    <x v="36"/>
    <d v="2025-02-07T00:00:00"/>
    <x v="2"/>
    <x v="4"/>
    <x v="0"/>
    <x v="0"/>
    <x v="37"/>
    <x v="3"/>
    <x v="5"/>
    <x v="2"/>
  </r>
  <r>
    <x v="883"/>
    <x v="6"/>
    <x v="25"/>
    <n v="55.5"/>
    <x v="768"/>
    <x v="36"/>
    <d v="2025-02-09T00:00:00"/>
    <x v="1"/>
    <x v="3"/>
    <x v="0"/>
    <x v="0"/>
    <x v="49"/>
    <x v="2"/>
    <x v="5"/>
    <x v="1"/>
  </r>
  <r>
    <x v="884"/>
    <x v="11"/>
    <x v="1"/>
    <n v="38.9"/>
    <x v="482"/>
    <x v="36"/>
    <d v="2025-02-08T00:00:00"/>
    <x v="2"/>
    <x v="1"/>
    <x v="2"/>
    <x v="0"/>
    <x v="25"/>
    <x v="1"/>
    <x v="5"/>
    <x v="2"/>
  </r>
  <r>
    <x v="885"/>
    <x v="16"/>
    <x v="1"/>
    <n v="64.599999999999994"/>
    <x v="769"/>
    <x v="36"/>
    <d v="2025-02-13T00:00:00"/>
    <x v="1"/>
    <x v="2"/>
    <x v="1"/>
    <x v="0"/>
    <x v="25"/>
    <x v="6"/>
    <x v="5"/>
    <x v="1"/>
  </r>
  <r>
    <x v="886"/>
    <x v="2"/>
    <x v="2"/>
    <n v="95.3"/>
    <x v="770"/>
    <x v="36"/>
    <d v="2025-02-07T00:00:00"/>
    <x v="1"/>
    <x v="0"/>
    <x v="0"/>
    <x v="0"/>
    <x v="5"/>
    <x v="3"/>
    <x v="5"/>
    <x v="1"/>
  </r>
  <r>
    <x v="887"/>
    <x v="13"/>
    <x v="2"/>
    <n v="25.8"/>
    <x v="771"/>
    <x v="36"/>
    <d v="2025-02-07T00:00:00"/>
    <x v="2"/>
    <x v="1"/>
    <x v="1"/>
    <x v="0"/>
    <x v="6"/>
    <x v="3"/>
    <x v="5"/>
    <x v="2"/>
  </r>
  <r>
    <x v="888"/>
    <x v="0"/>
    <x v="1"/>
    <n v="11.6"/>
    <x v="772"/>
    <x v="36"/>
    <d v="2025-02-10T00:00:00"/>
    <x v="2"/>
    <x v="1"/>
    <x v="1"/>
    <x v="0"/>
    <x v="6"/>
    <x v="5"/>
    <x v="5"/>
    <x v="2"/>
  </r>
  <r>
    <x v="889"/>
    <x v="7"/>
    <x v="0"/>
    <n v="52.3"/>
    <x v="773"/>
    <x v="36"/>
    <d v="2025-02-07T00:00:00"/>
    <x v="2"/>
    <x v="1"/>
    <x v="0"/>
    <x v="0"/>
    <x v="8"/>
    <x v="3"/>
    <x v="5"/>
    <x v="2"/>
  </r>
  <r>
    <x v="890"/>
    <x v="2"/>
    <x v="7"/>
    <n v="112.2"/>
    <x v="774"/>
    <x v="36"/>
    <d v="2025-02-07T00:00:00"/>
    <x v="2"/>
    <x v="1"/>
    <x v="1"/>
    <x v="0"/>
    <x v="8"/>
    <x v="3"/>
    <x v="5"/>
    <x v="2"/>
  </r>
  <r>
    <x v="891"/>
    <x v="4"/>
    <x v="9"/>
    <n v="34.6"/>
    <x v="775"/>
    <x v="36"/>
    <d v="2025-02-08T00:00:00"/>
    <x v="1"/>
    <x v="2"/>
    <x v="0"/>
    <x v="0"/>
    <x v="8"/>
    <x v="1"/>
    <x v="5"/>
    <x v="1"/>
  </r>
  <r>
    <x v="892"/>
    <x v="14"/>
    <x v="12"/>
    <n v="20.100000000000001"/>
    <x v="48"/>
    <x v="36"/>
    <d v="2025-02-12T00:00:00"/>
    <x v="1"/>
    <x v="1"/>
    <x v="2"/>
    <x v="0"/>
    <x v="8"/>
    <x v="4"/>
    <x v="5"/>
    <x v="1"/>
  </r>
  <r>
    <x v="893"/>
    <x v="2"/>
    <x v="12"/>
    <n v="56.4"/>
    <x v="776"/>
    <x v="36"/>
    <d v="2025-02-08T00:00:00"/>
    <x v="2"/>
    <x v="2"/>
    <x v="0"/>
    <x v="0"/>
    <x v="10"/>
    <x v="1"/>
    <x v="5"/>
    <x v="2"/>
  </r>
  <r>
    <x v="894"/>
    <x v="13"/>
    <x v="11"/>
    <n v="55.3"/>
    <x v="777"/>
    <x v="36"/>
    <d v="2025-02-08T00:00:00"/>
    <x v="2"/>
    <x v="1"/>
    <x v="4"/>
    <x v="0"/>
    <x v="11"/>
    <x v="1"/>
    <x v="5"/>
    <x v="2"/>
  </r>
  <r>
    <x v="895"/>
    <x v="2"/>
    <x v="31"/>
    <n v="75.5"/>
    <x v="778"/>
    <x v="36"/>
    <d v="2025-02-07T00:00:00"/>
    <x v="2"/>
    <x v="0"/>
    <x v="0"/>
    <x v="0"/>
    <x v="11"/>
    <x v="3"/>
    <x v="5"/>
    <x v="2"/>
  </r>
  <r>
    <x v="896"/>
    <x v="8"/>
    <x v="0"/>
    <n v="23.6"/>
    <x v="779"/>
    <x v="36"/>
    <d v="2025-02-11T00:00:00"/>
    <x v="2"/>
    <x v="0"/>
    <x v="0"/>
    <x v="0"/>
    <x v="19"/>
    <x v="0"/>
    <x v="5"/>
    <x v="2"/>
  </r>
  <r>
    <x v="897"/>
    <x v="9"/>
    <x v="1"/>
    <n v="70.7"/>
    <x v="780"/>
    <x v="36"/>
    <d v="2025-02-08T00:00:00"/>
    <x v="2"/>
    <x v="2"/>
    <x v="0"/>
    <x v="0"/>
    <x v="19"/>
    <x v="1"/>
    <x v="5"/>
    <x v="2"/>
  </r>
  <r>
    <x v="898"/>
    <x v="12"/>
    <x v="1"/>
    <n v="43.2"/>
    <x v="781"/>
    <x v="36"/>
    <d v="2025-02-07T00:00:00"/>
    <x v="2"/>
    <x v="2"/>
    <x v="0"/>
    <x v="0"/>
    <x v="31"/>
    <x v="3"/>
    <x v="5"/>
    <x v="2"/>
  </r>
  <r>
    <x v="899"/>
    <x v="9"/>
    <x v="11"/>
    <n v="70"/>
    <x v="782"/>
    <x v="36"/>
    <d v="2025-02-07T00:00:00"/>
    <x v="0"/>
    <x v="1"/>
    <x v="0"/>
    <x v="0"/>
    <x v="52"/>
    <x v="3"/>
    <x v="5"/>
    <x v="0"/>
  </r>
  <r>
    <x v="900"/>
    <x v="0"/>
    <x v="1"/>
    <n v="20.5"/>
    <x v="783"/>
    <x v="36"/>
    <d v="2025-02-08T00:00:00"/>
    <x v="2"/>
    <x v="2"/>
    <x v="4"/>
    <x v="0"/>
    <x v="13"/>
    <x v="1"/>
    <x v="5"/>
    <x v="2"/>
  </r>
  <r>
    <x v="901"/>
    <x v="0"/>
    <x v="12"/>
    <n v="29.1"/>
    <x v="565"/>
    <x v="36"/>
    <d v="2025-02-07T00:00:00"/>
    <x v="2"/>
    <x v="3"/>
    <x v="0"/>
    <x v="0"/>
    <x v="28"/>
    <x v="3"/>
    <x v="5"/>
    <x v="2"/>
  </r>
  <r>
    <x v="902"/>
    <x v="6"/>
    <x v="11"/>
    <n v="53.6"/>
    <x v="784"/>
    <x v="36"/>
    <d v="2025-02-07T00:00:00"/>
    <x v="1"/>
    <x v="2"/>
    <x v="1"/>
    <x v="0"/>
    <x v="3"/>
    <x v="3"/>
    <x v="5"/>
    <x v="1"/>
  </r>
  <r>
    <x v="903"/>
    <x v="6"/>
    <x v="9"/>
    <n v="72.3"/>
    <x v="785"/>
    <x v="36"/>
    <d v="2025-02-08T00:00:00"/>
    <x v="2"/>
    <x v="1"/>
    <x v="0"/>
    <x v="0"/>
    <x v="3"/>
    <x v="1"/>
    <x v="5"/>
    <x v="2"/>
  </r>
  <r>
    <x v="904"/>
    <x v="13"/>
    <x v="12"/>
    <n v="22.6"/>
    <x v="786"/>
    <x v="36"/>
    <d v="2025-02-09T00:00:00"/>
    <x v="3"/>
    <x v="0"/>
    <x v="1"/>
    <x v="0"/>
    <x v="3"/>
    <x v="2"/>
    <x v="5"/>
    <x v="3"/>
  </r>
  <r>
    <x v="905"/>
    <x v="9"/>
    <x v="1"/>
    <n v="44.2"/>
    <x v="787"/>
    <x v="36"/>
    <d v="2025-02-10T00:00:00"/>
    <x v="0"/>
    <x v="2"/>
    <x v="4"/>
    <x v="0"/>
    <x v="3"/>
    <x v="5"/>
    <x v="5"/>
    <x v="0"/>
  </r>
  <r>
    <x v="906"/>
    <x v="9"/>
    <x v="2"/>
    <n v="94.1"/>
    <x v="788"/>
    <x v="36"/>
    <d v="2025-02-19T00:00:00"/>
    <x v="2"/>
    <x v="2"/>
    <x v="2"/>
    <x v="0"/>
    <x v="3"/>
    <x v="10"/>
    <x v="5"/>
    <x v="2"/>
  </r>
  <r>
    <x v="907"/>
    <x v="8"/>
    <x v="2"/>
    <n v="17.899999999999999"/>
    <x v="789"/>
    <x v="36"/>
    <d v="2025-02-08T00:00:00"/>
    <x v="1"/>
    <x v="1"/>
    <x v="1"/>
    <x v="0"/>
    <x v="3"/>
    <x v="1"/>
    <x v="5"/>
    <x v="1"/>
  </r>
  <r>
    <x v="908"/>
    <x v="12"/>
    <x v="3"/>
    <n v="52.7"/>
    <x v="790"/>
    <x v="36"/>
    <d v="2025-02-07T00:00:00"/>
    <x v="1"/>
    <x v="1"/>
    <x v="1"/>
    <x v="0"/>
    <x v="3"/>
    <x v="3"/>
    <x v="5"/>
    <x v="1"/>
  </r>
  <r>
    <x v="909"/>
    <x v="8"/>
    <x v="0"/>
    <n v="36.799999999999997"/>
    <x v="791"/>
    <x v="36"/>
    <d v="2025-02-06T00:00:00"/>
    <x v="0"/>
    <x v="0"/>
    <x v="2"/>
    <x v="0"/>
    <x v="3"/>
    <x v="7"/>
    <x v="5"/>
    <x v="0"/>
  </r>
  <r>
    <x v="910"/>
    <x v="4"/>
    <x v="0"/>
    <n v="52.5"/>
    <x v="413"/>
    <x v="36"/>
    <d v="2025-02-07T00:00:00"/>
    <x v="1"/>
    <x v="0"/>
    <x v="1"/>
    <x v="0"/>
    <x v="6"/>
    <x v="3"/>
    <x v="5"/>
    <x v="1"/>
  </r>
  <r>
    <x v="911"/>
    <x v="2"/>
    <x v="1"/>
    <n v="133.80000000000001"/>
    <x v="792"/>
    <x v="36"/>
    <d v="2025-02-08T00:00:00"/>
    <x v="1"/>
    <x v="0"/>
    <x v="1"/>
    <x v="0"/>
    <x v="7"/>
    <x v="1"/>
    <x v="5"/>
    <x v="1"/>
  </r>
  <r>
    <x v="912"/>
    <x v="6"/>
    <x v="1"/>
    <n v="53.2"/>
    <x v="793"/>
    <x v="36"/>
    <d v="2025-02-08T00:00:00"/>
    <x v="1"/>
    <x v="0"/>
    <x v="0"/>
    <x v="0"/>
    <x v="17"/>
    <x v="1"/>
    <x v="5"/>
    <x v="1"/>
  </r>
  <r>
    <x v="913"/>
    <x v="14"/>
    <x v="13"/>
    <n v="18.7"/>
    <x v="794"/>
    <x v="36"/>
    <d v="2025-02-08T00:00:00"/>
    <x v="0"/>
    <x v="0"/>
    <x v="1"/>
    <x v="0"/>
    <x v="10"/>
    <x v="1"/>
    <x v="5"/>
    <x v="0"/>
  </r>
  <r>
    <x v="914"/>
    <x v="6"/>
    <x v="12"/>
    <n v="108.8"/>
    <x v="795"/>
    <x v="36"/>
    <d v="2025-02-07T00:00:00"/>
    <x v="2"/>
    <x v="3"/>
    <x v="2"/>
    <x v="0"/>
    <x v="11"/>
    <x v="3"/>
    <x v="5"/>
    <x v="2"/>
  </r>
  <r>
    <x v="915"/>
    <x v="15"/>
    <x v="9"/>
    <n v="38.5"/>
    <x v="796"/>
    <x v="36"/>
    <d v="2025-02-10T00:00:00"/>
    <x v="2"/>
    <x v="0"/>
    <x v="1"/>
    <x v="0"/>
    <x v="14"/>
    <x v="5"/>
    <x v="5"/>
    <x v="2"/>
  </r>
  <r>
    <x v="916"/>
    <x v="10"/>
    <x v="7"/>
    <n v="46.5"/>
    <x v="797"/>
    <x v="36"/>
    <d v="2025-02-08T00:00:00"/>
    <x v="1"/>
    <x v="2"/>
    <x v="1"/>
    <x v="0"/>
    <x v="2"/>
    <x v="1"/>
    <x v="5"/>
    <x v="1"/>
  </r>
  <r>
    <x v="917"/>
    <x v="2"/>
    <x v="2"/>
    <n v="75.8"/>
    <x v="129"/>
    <x v="36"/>
    <d v="2025-02-10T00:00:00"/>
    <x v="2"/>
    <x v="1"/>
    <x v="4"/>
    <x v="0"/>
    <x v="44"/>
    <x v="5"/>
    <x v="5"/>
    <x v="2"/>
  </r>
  <r>
    <x v="918"/>
    <x v="8"/>
    <x v="0"/>
    <n v="20.9"/>
    <x v="798"/>
    <x v="36"/>
    <d v="2025-02-10T00:00:00"/>
    <x v="1"/>
    <x v="0"/>
    <x v="0"/>
    <x v="0"/>
    <x v="22"/>
    <x v="5"/>
    <x v="5"/>
    <x v="1"/>
  </r>
  <r>
    <x v="919"/>
    <x v="18"/>
    <x v="2"/>
    <n v="47.4"/>
    <x v="60"/>
    <x v="36"/>
    <d v="2025-02-09T00:00:00"/>
    <x v="2"/>
    <x v="0"/>
    <x v="0"/>
    <x v="0"/>
    <x v="3"/>
    <x v="2"/>
    <x v="5"/>
    <x v="2"/>
  </r>
  <r>
    <x v="920"/>
    <x v="9"/>
    <x v="1"/>
    <n v="53.8"/>
    <x v="799"/>
    <x v="36"/>
    <d v="2025-02-07T00:00:00"/>
    <x v="0"/>
    <x v="0"/>
    <x v="1"/>
    <x v="0"/>
    <x v="3"/>
    <x v="3"/>
    <x v="5"/>
    <x v="0"/>
  </r>
  <r>
    <x v="921"/>
    <x v="8"/>
    <x v="2"/>
    <n v="24.6"/>
    <x v="800"/>
    <x v="36"/>
    <d v="2025-02-08T00:00:00"/>
    <x v="3"/>
    <x v="1"/>
    <x v="2"/>
    <x v="0"/>
    <x v="3"/>
    <x v="1"/>
    <x v="5"/>
    <x v="3"/>
  </r>
  <r>
    <x v="922"/>
    <x v="9"/>
    <x v="2"/>
    <n v="70.900000000000006"/>
    <x v="801"/>
    <x v="36"/>
    <d v="2025-02-11T00:00:00"/>
    <x v="2"/>
    <x v="2"/>
    <x v="2"/>
    <x v="0"/>
    <x v="3"/>
    <x v="0"/>
    <x v="5"/>
    <x v="2"/>
  </r>
  <r>
    <x v="923"/>
    <x v="17"/>
    <x v="2"/>
    <n v="31.9"/>
    <x v="802"/>
    <x v="36"/>
    <d v="2025-02-08T00:00:00"/>
    <x v="2"/>
    <x v="2"/>
    <x v="2"/>
    <x v="0"/>
    <x v="3"/>
    <x v="1"/>
    <x v="5"/>
    <x v="2"/>
  </r>
  <r>
    <x v="924"/>
    <x v="0"/>
    <x v="1"/>
    <n v="20.399999999999999"/>
    <x v="803"/>
    <x v="36"/>
    <d v="2025-02-10T00:00:00"/>
    <x v="1"/>
    <x v="3"/>
    <x v="2"/>
    <x v="0"/>
    <x v="3"/>
    <x v="5"/>
    <x v="5"/>
    <x v="1"/>
  </r>
  <r>
    <x v="925"/>
    <x v="8"/>
    <x v="1"/>
    <n v="18.600000000000001"/>
    <x v="804"/>
    <x v="36"/>
    <d v="2025-02-08T00:00:00"/>
    <x v="0"/>
    <x v="0"/>
    <x v="1"/>
    <x v="0"/>
    <x v="3"/>
    <x v="1"/>
    <x v="5"/>
    <x v="0"/>
  </r>
  <r>
    <x v="926"/>
    <x v="4"/>
    <x v="9"/>
    <n v="48.3"/>
    <x v="805"/>
    <x v="36"/>
    <d v="2025-02-08T00:00:00"/>
    <x v="2"/>
    <x v="1"/>
    <x v="0"/>
    <x v="0"/>
    <x v="3"/>
    <x v="1"/>
    <x v="5"/>
    <x v="2"/>
  </r>
  <r>
    <x v="927"/>
    <x v="0"/>
    <x v="12"/>
    <n v="27.7"/>
    <x v="806"/>
    <x v="36"/>
    <d v="2025-02-08T00:00:00"/>
    <x v="2"/>
    <x v="0"/>
    <x v="0"/>
    <x v="0"/>
    <x v="3"/>
    <x v="1"/>
    <x v="5"/>
    <x v="2"/>
  </r>
  <r>
    <x v="928"/>
    <x v="4"/>
    <x v="9"/>
    <n v="22.5"/>
    <x v="158"/>
    <x v="36"/>
    <d v="2025-02-08T00:00:00"/>
    <x v="2"/>
    <x v="4"/>
    <x v="2"/>
    <x v="0"/>
    <x v="3"/>
    <x v="1"/>
    <x v="5"/>
    <x v="2"/>
  </r>
  <r>
    <x v="929"/>
    <x v="17"/>
    <x v="9"/>
    <n v="21.6"/>
    <x v="807"/>
    <x v="36"/>
    <d v="2025-02-14T00:00:00"/>
    <x v="2"/>
    <x v="0"/>
    <x v="1"/>
    <x v="0"/>
    <x v="3"/>
    <x v="9"/>
    <x v="5"/>
    <x v="2"/>
  </r>
  <r>
    <x v="930"/>
    <x v="10"/>
    <x v="3"/>
    <n v="26.3"/>
    <x v="808"/>
    <x v="36"/>
    <d v="2025-02-06T00:00:00"/>
    <x v="2"/>
    <x v="2"/>
    <x v="1"/>
    <x v="0"/>
    <x v="3"/>
    <x v="7"/>
    <x v="5"/>
    <x v="2"/>
  </r>
  <r>
    <x v="931"/>
    <x v="6"/>
    <x v="3"/>
    <n v="103"/>
    <x v="809"/>
    <x v="37"/>
    <d v="2025-02-08T00:00:00"/>
    <x v="1"/>
    <x v="0"/>
    <x v="2"/>
    <x v="0"/>
    <x v="6"/>
    <x v="3"/>
    <x v="5"/>
    <x v="1"/>
  </r>
  <r>
    <x v="932"/>
    <x v="5"/>
    <x v="20"/>
    <n v="46.6"/>
    <x v="810"/>
    <x v="37"/>
    <d v="2025-02-08T00:00:00"/>
    <x v="2"/>
    <x v="0"/>
    <x v="1"/>
    <x v="0"/>
    <x v="6"/>
    <x v="3"/>
    <x v="5"/>
    <x v="2"/>
  </r>
  <r>
    <x v="933"/>
    <x v="0"/>
    <x v="9"/>
    <n v="32.200000000000003"/>
    <x v="811"/>
    <x v="37"/>
    <d v="2025-02-10T00:00:00"/>
    <x v="2"/>
    <x v="0"/>
    <x v="2"/>
    <x v="0"/>
    <x v="36"/>
    <x v="2"/>
    <x v="5"/>
    <x v="2"/>
  </r>
  <r>
    <x v="934"/>
    <x v="8"/>
    <x v="2"/>
    <n v="22"/>
    <x v="812"/>
    <x v="37"/>
    <d v="2025-02-14T00:00:00"/>
    <x v="1"/>
    <x v="1"/>
    <x v="0"/>
    <x v="0"/>
    <x v="7"/>
    <x v="6"/>
    <x v="5"/>
    <x v="1"/>
  </r>
  <r>
    <x v="935"/>
    <x v="0"/>
    <x v="1"/>
    <n v="25.2"/>
    <x v="813"/>
    <x v="37"/>
    <d v="2025-02-11T00:00:00"/>
    <x v="2"/>
    <x v="0"/>
    <x v="0"/>
    <x v="0"/>
    <x v="7"/>
    <x v="5"/>
    <x v="5"/>
    <x v="2"/>
  </r>
  <r>
    <x v="936"/>
    <x v="1"/>
    <x v="13"/>
    <n v="68.7"/>
    <x v="814"/>
    <x v="37"/>
    <d v="2025-02-09T00:00:00"/>
    <x v="1"/>
    <x v="4"/>
    <x v="0"/>
    <x v="0"/>
    <x v="8"/>
    <x v="1"/>
    <x v="5"/>
    <x v="1"/>
  </r>
  <r>
    <x v="937"/>
    <x v="0"/>
    <x v="2"/>
    <n v="22.2"/>
    <x v="815"/>
    <x v="37"/>
    <d v="2025-02-10T00:00:00"/>
    <x v="1"/>
    <x v="2"/>
    <x v="2"/>
    <x v="0"/>
    <x v="8"/>
    <x v="2"/>
    <x v="5"/>
    <x v="1"/>
  </r>
  <r>
    <x v="938"/>
    <x v="1"/>
    <x v="3"/>
    <n v="36"/>
    <x v="816"/>
    <x v="37"/>
    <d v="2025-02-08T00:00:00"/>
    <x v="2"/>
    <x v="1"/>
    <x v="0"/>
    <x v="0"/>
    <x v="8"/>
    <x v="3"/>
    <x v="5"/>
    <x v="2"/>
  </r>
  <r>
    <x v="939"/>
    <x v="18"/>
    <x v="0"/>
    <n v="50.6"/>
    <x v="578"/>
    <x v="37"/>
    <d v="2025-02-09T00:00:00"/>
    <x v="2"/>
    <x v="0"/>
    <x v="1"/>
    <x v="0"/>
    <x v="8"/>
    <x v="1"/>
    <x v="5"/>
    <x v="2"/>
  </r>
  <r>
    <x v="940"/>
    <x v="15"/>
    <x v="1"/>
    <n v="44.9"/>
    <x v="817"/>
    <x v="37"/>
    <d v="2025-02-09T00:00:00"/>
    <x v="1"/>
    <x v="0"/>
    <x v="1"/>
    <x v="0"/>
    <x v="8"/>
    <x v="1"/>
    <x v="5"/>
    <x v="1"/>
  </r>
  <r>
    <x v="941"/>
    <x v="6"/>
    <x v="2"/>
    <n v="71.599999999999994"/>
    <x v="818"/>
    <x v="37"/>
    <d v="2025-02-11T00:00:00"/>
    <x v="1"/>
    <x v="1"/>
    <x v="2"/>
    <x v="0"/>
    <x v="10"/>
    <x v="5"/>
    <x v="5"/>
    <x v="1"/>
  </r>
  <r>
    <x v="942"/>
    <x v="6"/>
    <x v="13"/>
    <n v="51.5"/>
    <x v="15"/>
    <x v="37"/>
    <d v="2025-02-09T00:00:00"/>
    <x v="0"/>
    <x v="4"/>
    <x v="0"/>
    <x v="0"/>
    <x v="11"/>
    <x v="1"/>
    <x v="5"/>
    <x v="0"/>
  </r>
  <r>
    <x v="943"/>
    <x v="7"/>
    <x v="9"/>
    <n v="55.5"/>
    <x v="819"/>
    <x v="37"/>
    <d v="2025-02-08T00:00:00"/>
    <x v="1"/>
    <x v="1"/>
    <x v="1"/>
    <x v="0"/>
    <x v="11"/>
    <x v="3"/>
    <x v="5"/>
    <x v="1"/>
  </r>
  <r>
    <x v="944"/>
    <x v="6"/>
    <x v="0"/>
    <n v="51.7"/>
    <x v="733"/>
    <x v="37"/>
    <d v="2025-02-21T00:00:00"/>
    <x v="1"/>
    <x v="2"/>
    <x v="0"/>
    <x v="0"/>
    <x v="19"/>
    <x v="12"/>
    <x v="5"/>
    <x v="1"/>
  </r>
  <r>
    <x v="945"/>
    <x v="8"/>
    <x v="38"/>
    <n v="45.5"/>
    <x v="820"/>
    <x v="37"/>
    <d v="2025-02-08T00:00:00"/>
    <x v="2"/>
    <x v="3"/>
    <x v="2"/>
    <x v="0"/>
    <x v="19"/>
    <x v="3"/>
    <x v="5"/>
    <x v="2"/>
  </r>
  <r>
    <x v="946"/>
    <x v="8"/>
    <x v="1"/>
    <n v="33.799999999999997"/>
    <x v="821"/>
    <x v="37"/>
    <d v="2025-02-13T00:00:00"/>
    <x v="2"/>
    <x v="3"/>
    <x v="0"/>
    <x v="0"/>
    <x v="20"/>
    <x v="4"/>
    <x v="5"/>
    <x v="2"/>
  </r>
  <r>
    <x v="947"/>
    <x v="3"/>
    <x v="2"/>
    <n v="76.5"/>
    <x v="822"/>
    <x v="37"/>
    <d v="2025-02-08T00:00:00"/>
    <x v="2"/>
    <x v="0"/>
    <x v="1"/>
    <x v="0"/>
    <x v="21"/>
    <x v="3"/>
    <x v="5"/>
    <x v="2"/>
  </r>
  <r>
    <x v="948"/>
    <x v="9"/>
    <x v="2"/>
    <n v="42.6"/>
    <x v="823"/>
    <x v="37"/>
    <d v="2025-02-13T00:00:00"/>
    <x v="2"/>
    <x v="2"/>
    <x v="2"/>
    <x v="0"/>
    <x v="2"/>
    <x v="4"/>
    <x v="5"/>
    <x v="2"/>
  </r>
  <r>
    <x v="949"/>
    <x v="6"/>
    <x v="2"/>
    <n v="44.1"/>
    <x v="431"/>
    <x v="37"/>
    <d v="2025-02-09T00:00:00"/>
    <x v="2"/>
    <x v="1"/>
    <x v="1"/>
    <x v="0"/>
    <x v="22"/>
    <x v="1"/>
    <x v="5"/>
    <x v="2"/>
  </r>
  <r>
    <x v="950"/>
    <x v="8"/>
    <x v="1"/>
    <n v="40.9"/>
    <x v="673"/>
    <x v="37"/>
    <d v="2025-02-11T00:00:00"/>
    <x v="1"/>
    <x v="0"/>
    <x v="0"/>
    <x v="0"/>
    <x v="3"/>
    <x v="5"/>
    <x v="5"/>
    <x v="1"/>
  </r>
  <r>
    <x v="951"/>
    <x v="9"/>
    <x v="2"/>
    <n v="49.1"/>
    <x v="824"/>
    <x v="37"/>
    <d v="2025-02-11T00:00:00"/>
    <x v="2"/>
    <x v="3"/>
    <x v="1"/>
    <x v="0"/>
    <x v="3"/>
    <x v="5"/>
    <x v="5"/>
    <x v="2"/>
  </r>
  <r>
    <x v="952"/>
    <x v="18"/>
    <x v="0"/>
    <n v="85.3"/>
    <x v="825"/>
    <x v="37"/>
    <d v="2025-02-11T00:00:00"/>
    <x v="1"/>
    <x v="1"/>
    <x v="1"/>
    <x v="0"/>
    <x v="3"/>
    <x v="5"/>
    <x v="5"/>
    <x v="1"/>
  </r>
  <r>
    <x v="953"/>
    <x v="6"/>
    <x v="12"/>
    <n v="43.1"/>
    <x v="826"/>
    <x v="38"/>
    <d v="2025-02-11T00:00:00"/>
    <x v="1"/>
    <x v="0"/>
    <x v="0"/>
    <x v="0"/>
    <x v="3"/>
    <x v="2"/>
    <x v="5"/>
    <x v="1"/>
  </r>
  <r>
    <x v="954"/>
    <x v="4"/>
    <x v="12"/>
    <n v="46.2"/>
    <x v="827"/>
    <x v="38"/>
    <d v="2025-02-09T00:00:00"/>
    <x v="1"/>
    <x v="2"/>
    <x v="0"/>
    <x v="0"/>
    <x v="3"/>
    <x v="3"/>
    <x v="5"/>
    <x v="1"/>
  </r>
  <r>
    <x v="955"/>
    <x v="1"/>
    <x v="0"/>
    <n v="74.400000000000006"/>
    <x v="610"/>
    <x v="38"/>
    <d v="2025-02-10T00:00:00"/>
    <x v="1"/>
    <x v="4"/>
    <x v="2"/>
    <x v="0"/>
    <x v="3"/>
    <x v="1"/>
    <x v="5"/>
    <x v="1"/>
  </r>
  <r>
    <x v="956"/>
    <x v="17"/>
    <x v="1"/>
    <n v="51.2"/>
    <x v="298"/>
    <x v="38"/>
    <d v="2025-02-09T00:00:00"/>
    <x v="1"/>
    <x v="1"/>
    <x v="0"/>
    <x v="0"/>
    <x v="3"/>
    <x v="3"/>
    <x v="5"/>
    <x v="1"/>
  </r>
  <r>
    <x v="957"/>
    <x v="14"/>
    <x v="12"/>
    <n v="11.8"/>
    <x v="828"/>
    <x v="38"/>
    <d v="2025-02-08T00:00:00"/>
    <x v="1"/>
    <x v="2"/>
    <x v="0"/>
    <x v="0"/>
    <x v="3"/>
    <x v="7"/>
    <x v="5"/>
    <x v="1"/>
  </r>
  <r>
    <x v="958"/>
    <x v="10"/>
    <x v="6"/>
    <n v="40.799999999999997"/>
    <x v="829"/>
    <x v="38"/>
    <d v="2025-02-09T00:00:00"/>
    <x v="2"/>
    <x v="3"/>
    <x v="2"/>
    <x v="0"/>
    <x v="3"/>
    <x v="3"/>
    <x v="5"/>
    <x v="2"/>
  </r>
  <r>
    <x v="959"/>
    <x v="8"/>
    <x v="0"/>
    <n v="24.7"/>
    <x v="830"/>
    <x v="38"/>
    <d v="2025-02-10T00:00:00"/>
    <x v="2"/>
    <x v="2"/>
    <x v="1"/>
    <x v="0"/>
    <x v="3"/>
    <x v="1"/>
    <x v="5"/>
    <x v="2"/>
  </r>
  <r>
    <x v="960"/>
    <x v="8"/>
    <x v="3"/>
    <n v="22.1"/>
    <x v="831"/>
    <x v="38"/>
    <d v="2025-02-08T00:00:00"/>
    <x v="2"/>
    <x v="2"/>
    <x v="4"/>
    <x v="0"/>
    <x v="3"/>
    <x v="7"/>
    <x v="5"/>
    <x v="2"/>
  </r>
  <r>
    <x v="961"/>
    <x v="8"/>
    <x v="0"/>
    <n v="18.100000000000001"/>
    <x v="832"/>
    <x v="38"/>
    <d v="2025-02-12T00:00:00"/>
    <x v="1"/>
    <x v="3"/>
    <x v="2"/>
    <x v="0"/>
    <x v="3"/>
    <x v="5"/>
    <x v="5"/>
    <x v="1"/>
  </r>
  <r>
    <x v="962"/>
    <x v="17"/>
    <x v="1"/>
    <n v="58.8"/>
    <x v="833"/>
    <x v="38"/>
    <d v="2025-02-11T00:00:00"/>
    <x v="2"/>
    <x v="0"/>
    <x v="0"/>
    <x v="0"/>
    <x v="25"/>
    <x v="2"/>
    <x v="5"/>
    <x v="2"/>
  </r>
  <r>
    <x v="963"/>
    <x v="18"/>
    <x v="1"/>
    <n v="30.8"/>
    <x v="834"/>
    <x v="38"/>
    <d v="2025-02-09T00:00:00"/>
    <x v="2"/>
    <x v="0"/>
    <x v="0"/>
    <x v="0"/>
    <x v="6"/>
    <x v="3"/>
    <x v="5"/>
    <x v="2"/>
  </r>
  <r>
    <x v="964"/>
    <x v="0"/>
    <x v="1"/>
    <n v="12"/>
    <x v="835"/>
    <x v="38"/>
    <d v="2025-02-12T00:00:00"/>
    <x v="2"/>
    <x v="0"/>
    <x v="0"/>
    <x v="0"/>
    <x v="6"/>
    <x v="5"/>
    <x v="5"/>
    <x v="2"/>
  </r>
  <r>
    <x v="965"/>
    <x v="0"/>
    <x v="12"/>
    <n v="13.6"/>
    <x v="630"/>
    <x v="38"/>
    <d v="2025-02-11T00:00:00"/>
    <x v="1"/>
    <x v="2"/>
    <x v="0"/>
    <x v="0"/>
    <x v="6"/>
    <x v="2"/>
    <x v="5"/>
    <x v="1"/>
  </r>
  <r>
    <x v="966"/>
    <x v="0"/>
    <x v="0"/>
    <n v="17.899999999999999"/>
    <x v="836"/>
    <x v="38"/>
    <d v="2025-02-09T00:00:00"/>
    <x v="1"/>
    <x v="3"/>
    <x v="0"/>
    <x v="0"/>
    <x v="6"/>
    <x v="3"/>
    <x v="5"/>
    <x v="1"/>
  </r>
  <r>
    <x v="967"/>
    <x v="9"/>
    <x v="1"/>
    <n v="38.6"/>
    <x v="837"/>
    <x v="38"/>
    <d v="2025-02-12T00:00:00"/>
    <x v="2"/>
    <x v="4"/>
    <x v="0"/>
    <x v="0"/>
    <x v="7"/>
    <x v="5"/>
    <x v="5"/>
    <x v="2"/>
  </r>
  <r>
    <x v="968"/>
    <x v="5"/>
    <x v="9"/>
    <n v="32.700000000000003"/>
    <x v="838"/>
    <x v="38"/>
    <d v="2025-02-09T00:00:00"/>
    <x v="1"/>
    <x v="2"/>
    <x v="2"/>
    <x v="0"/>
    <x v="8"/>
    <x v="3"/>
    <x v="5"/>
    <x v="1"/>
  </r>
  <r>
    <x v="969"/>
    <x v="3"/>
    <x v="1"/>
    <n v="111.4"/>
    <x v="839"/>
    <x v="38"/>
    <d v="2025-02-09T00:00:00"/>
    <x v="2"/>
    <x v="1"/>
    <x v="0"/>
    <x v="0"/>
    <x v="8"/>
    <x v="3"/>
    <x v="5"/>
    <x v="2"/>
  </r>
  <r>
    <x v="970"/>
    <x v="2"/>
    <x v="13"/>
    <n v="80.3"/>
    <x v="840"/>
    <x v="38"/>
    <d v="2025-02-10T00:00:00"/>
    <x v="2"/>
    <x v="1"/>
    <x v="0"/>
    <x v="0"/>
    <x v="8"/>
    <x v="1"/>
    <x v="5"/>
    <x v="2"/>
  </r>
  <r>
    <x v="971"/>
    <x v="6"/>
    <x v="1"/>
    <n v="58.9"/>
    <x v="841"/>
    <x v="38"/>
    <d v="2025-02-09T00:00:00"/>
    <x v="1"/>
    <x v="1"/>
    <x v="0"/>
    <x v="0"/>
    <x v="8"/>
    <x v="3"/>
    <x v="5"/>
    <x v="1"/>
  </r>
  <r>
    <x v="972"/>
    <x v="6"/>
    <x v="2"/>
    <n v="51.9"/>
    <x v="515"/>
    <x v="38"/>
    <d v="2025-02-10T00:00:00"/>
    <x v="2"/>
    <x v="1"/>
    <x v="4"/>
    <x v="0"/>
    <x v="8"/>
    <x v="1"/>
    <x v="5"/>
    <x v="2"/>
  </r>
  <r>
    <x v="973"/>
    <x v="2"/>
    <x v="2"/>
    <n v="50.3"/>
    <x v="842"/>
    <x v="38"/>
    <d v="2025-02-09T00:00:00"/>
    <x v="1"/>
    <x v="2"/>
    <x v="0"/>
    <x v="0"/>
    <x v="17"/>
    <x v="3"/>
    <x v="5"/>
    <x v="1"/>
  </r>
  <r>
    <x v="974"/>
    <x v="11"/>
    <x v="13"/>
    <n v="45"/>
    <x v="843"/>
    <x v="38"/>
    <d v="2025-02-14T00:00:00"/>
    <x v="2"/>
    <x v="3"/>
    <x v="0"/>
    <x v="0"/>
    <x v="9"/>
    <x v="4"/>
    <x v="5"/>
    <x v="2"/>
  </r>
  <r>
    <x v="975"/>
    <x v="10"/>
    <x v="13"/>
    <n v="44.7"/>
    <x v="844"/>
    <x v="38"/>
    <d v="2025-02-10T00:00:00"/>
    <x v="2"/>
    <x v="2"/>
    <x v="0"/>
    <x v="0"/>
    <x v="11"/>
    <x v="1"/>
    <x v="5"/>
    <x v="2"/>
  </r>
  <r>
    <x v="976"/>
    <x v="18"/>
    <x v="20"/>
    <n v="33"/>
    <x v="845"/>
    <x v="38"/>
    <d v="2025-02-09T00:00:00"/>
    <x v="2"/>
    <x v="2"/>
    <x v="0"/>
    <x v="0"/>
    <x v="11"/>
    <x v="3"/>
    <x v="5"/>
    <x v="2"/>
  </r>
  <r>
    <x v="977"/>
    <x v="1"/>
    <x v="9"/>
    <n v="44.9"/>
    <x v="846"/>
    <x v="38"/>
    <d v="2025-02-11T00:00:00"/>
    <x v="2"/>
    <x v="2"/>
    <x v="2"/>
    <x v="0"/>
    <x v="18"/>
    <x v="2"/>
    <x v="5"/>
    <x v="2"/>
  </r>
  <r>
    <x v="978"/>
    <x v="10"/>
    <x v="1"/>
    <n v="34.6"/>
    <x v="564"/>
    <x v="38"/>
    <d v="2025-02-12T00:00:00"/>
    <x v="2"/>
    <x v="0"/>
    <x v="1"/>
    <x v="0"/>
    <x v="19"/>
    <x v="5"/>
    <x v="5"/>
    <x v="2"/>
  </r>
  <r>
    <x v="979"/>
    <x v="7"/>
    <x v="3"/>
    <n v="47.1"/>
    <x v="847"/>
    <x v="38"/>
    <d v="2025-02-13T00:00:00"/>
    <x v="2"/>
    <x v="0"/>
    <x v="0"/>
    <x v="0"/>
    <x v="13"/>
    <x v="0"/>
    <x v="5"/>
    <x v="2"/>
  </r>
  <r>
    <x v="980"/>
    <x v="4"/>
    <x v="9"/>
    <n v="26.1"/>
    <x v="848"/>
    <x v="38"/>
    <d v="2025-02-13T00:00:00"/>
    <x v="1"/>
    <x v="0"/>
    <x v="2"/>
    <x v="0"/>
    <x v="21"/>
    <x v="0"/>
    <x v="5"/>
    <x v="1"/>
  </r>
  <r>
    <x v="981"/>
    <x v="12"/>
    <x v="9"/>
    <n v="66.8"/>
    <x v="849"/>
    <x v="38"/>
    <d v="2025-02-11T00:00:00"/>
    <x v="2"/>
    <x v="0"/>
    <x v="0"/>
    <x v="0"/>
    <x v="21"/>
    <x v="2"/>
    <x v="5"/>
    <x v="2"/>
  </r>
  <r>
    <x v="982"/>
    <x v="2"/>
    <x v="1"/>
    <n v="167.9"/>
    <x v="850"/>
    <x v="38"/>
    <d v="2025-02-09T00:00:00"/>
    <x v="2"/>
    <x v="3"/>
    <x v="2"/>
    <x v="0"/>
    <x v="21"/>
    <x v="3"/>
    <x v="5"/>
    <x v="2"/>
  </r>
  <r>
    <x v="983"/>
    <x v="10"/>
    <x v="11"/>
    <n v="34.6"/>
    <x v="851"/>
    <x v="38"/>
    <d v="2025-02-09T00:00:00"/>
    <x v="2"/>
    <x v="2"/>
    <x v="1"/>
    <x v="0"/>
    <x v="21"/>
    <x v="3"/>
    <x v="5"/>
    <x v="2"/>
  </r>
  <r>
    <x v="984"/>
    <x v="8"/>
    <x v="2"/>
    <n v="35.1"/>
    <x v="852"/>
    <x v="39"/>
    <d v="2025-02-13T00:00:00"/>
    <x v="1"/>
    <x v="4"/>
    <x v="2"/>
    <x v="0"/>
    <x v="1"/>
    <x v="5"/>
    <x v="6"/>
    <x v="1"/>
  </r>
  <r>
    <x v="985"/>
    <x v="6"/>
    <x v="12"/>
    <n v="104.5"/>
    <x v="378"/>
    <x v="39"/>
    <d v="2025-02-10T00:00:00"/>
    <x v="1"/>
    <x v="1"/>
    <x v="1"/>
    <x v="0"/>
    <x v="1"/>
    <x v="3"/>
    <x v="6"/>
    <x v="1"/>
  </r>
  <r>
    <x v="986"/>
    <x v="8"/>
    <x v="0"/>
    <n v="37.9"/>
    <x v="853"/>
    <x v="39"/>
    <d v="2025-02-11T00:00:00"/>
    <x v="0"/>
    <x v="1"/>
    <x v="2"/>
    <x v="0"/>
    <x v="2"/>
    <x v="1"/>
    <x v="6"/>
    <x v="0"/>
  </r>
  <r>
    <x v="987"/>
    <x v="4"/>
    <x v="2"/>
    <n v="25.5"/>
    <x v="514"/>
    <x v="39"/>
    <d v="2025-02-12T00:00:00"/>
    <x v="1"/>
    <x v="3"/>
    <x v="0"/>
    <x v="0"/>
    <x v="2"/>
    <x v="2"/>
    <x v="6"/>
    <x v="1"/>
  </r>
  <r>
    <x v="988"/>
    <x v="0"/>
    <x v="2"/>
    <n v="32"/>
    <x v="854"/>
    <x v="39"/>
    <d v="2025-02-13T00:00:00"/>
    <x v="2"/>
    <x v="1"/>
    <x v="0"/>
    <x v="0"/>
    <x v="22"/>
    <x v="5"/>
    <x v="6"/>
    <x v="2"/>
  </r>
  <r>
    <x v="989"/>
    <x v="1"/>
    <x v="0"/>
    <n v="47.1"/>
    <x v="392"/>
    <x v="39"/>
    <d v="2025-02-10T00:00:00"/>
    <x v="2"/>
    <x v="0"/>
    <x v="0"/>
    <x v="0"/>
    <x v="34"/>
    <x v="3"/>
    <x v="6"/>
    <x v="2"/>
  </r>
  <r>
    <x v="990"/>
    <x v="6"/>
    <x v="1"/>
    <n v="50.6"/>
    <x v="855"/>
    <x v="39"/>
    <d v="2025-02-15T00:00:00"/>
    <x v="0"/>
    <x v="0"/>
    <x v="0"/>
    <x v="0"/>
    <x v="3"/>
    <x v="4"/>
    <x v="6"/>
    <x v="0"/>
  </r>
  <r>
    <x v="991"/>
    <x v="6"/>
    <x v="9"/>
    <n v="81.7"/>
    <x v="856"/>
    <x v="39"/>
    <d v="2025-02-10T00:00:00"/>
    <x v="2"/>
    <x v="1"/>
    <x v="2"/>
    <x v="0"/>
    <x v="3"/>
    <x v="3"/>
    <x v="6"/>
    <x v="2"/>
  </r>
  <r>
    <x v="992"/>
    <x v="5"/>
    <x v="1"/>
    <n v="50.7"/>
    <x v="857"/>
    <x v="39"/>
    <d v="2025-02-10T00:00:00"/>
    <x v="3"/>
    <x v="2"/>
    <x v="2"/>
    <x v="0"/>
    <x v="3"/>
    <x v="3"/>
    <x v="6"/>
    <x v="3"/>
  </r>
  <r>
    <x v="993"/>
    <x v="2"/>
    <x v="10"/>
    <n v="67.3"/>
    <x v="858"/>
    <x v="39"/>
    <d v="2025-02-13T00:00:00"/>
    <x v="2"/>
    <x v="2"/>
    <x v="0"/>
    <x v="0"/>
    <x v="3"/>
    <x v="5"/>
    <x v="6"/>
    <x v="2"/>
  </r>
  <r>
    <x v="994"/>
    <x v="2"/>
    <x v="12"/>
    <n v="64.8"/>
    <x v="629"/>
    <x v="39"/>
    <d v="2025-02-12T00:00:00"/>
    <x v="2"/>
    <x v="3"/>
    <x v="0"/>
    <x v="0"/>
    <x v="3"/>
    <x v="2"/>
    <x v="6"/>
    <x v="2"/>
  </r>
  <r>
    <x v="995"/>
    <x v="5"/>
    <x v="32"/>
    <n v="61.3"/>
    <x v="859"/>
    <x v="39"/>
    <d v="2025-02-10T00:00:00"/>
    <x v="2"/>
    <x v="0"/>
    <x v="2"/>
    <x v="0"/>
    <x v="3"/>
    <x v="3"/>
    <x v="6"/>
    <x v="2"/>
  </r>
  <r>
    <x v="996"/>
    <x v="14"/>
    <x v="0"/>
    <n v="32.9"/>
    <x v="860"/>
    <x v="39"/>
    <d v="2025-02-12T00:00:00"/>
    <x v="2"/>
    <x v="4"/>
    <x v="0"/>
    <x v="0"/>
    <x v="3"/>
    <x v="2"/>
    <x v="6"/>
    <x v="2"/>
  </r>
  <r>
    <x v="997"/>
    <x v="6"/>
    <x v="1"/>
    <n v="100.8"/>
    <x v="861"/>
    <x v="39"/>
    <d v="2025-02-12T00:00:00"/>
    <x v="2"/>
    <x v="0"/>
    <x v="0"/>
    <x v="0"/>
    <x v="3"/>
    <x v="2"/>
    <x v="6"/>
    <x v="2"/>
  </r>
  <r>
    <x v="998"/>
    <x v="8"/>
    <x v="12"/>
    <n v="25.1"/>
    <x v="862"/>
    <x v="39"/>
    <d v="2025-02-11T00:00:00"/>
    <x v="2"/>
    <x v="1"/>
    <x v="0"/>
    <x v="0"/>
    <x v="3"/>
    <x v="1"/>
    <x v="6"/>
    <x v="2"/>
  </r>
  <r>
    <x v="999"/>
    <x v="17"/>
    <x v="0"/>
    <n v="48.5"/>
    <x v="319"/>
    <x v="39"/>
    <d v="2025-02-10T00:00:00"/>
    <x v="2"/>
    <x v="0"/>
    <x v="1"/>
    <x v="0"/>
    <x v="3"/>
    <x v="3"/>
    <x v="6"/>
    <x v="2"/>
  </r>
  <r>
    <x v="1000"/>
    <x v="7"/>
    <x v="1"/>
    <n v="33.6"/>
    <x v="863"/>
    <x v="39"/>
    <d v="2025-02-13T00:00:00"/>
    <x v="2"/>
    <x v="2"/>
    <x v="2"/>
    <x v="0"/>
    <x v="3"/>
    <x v="5"/>
    <x v="6"/>
    <x v="2"/>
  </r>
  <r>
    <x v="1001"/>
    <x v="8"/>
    <x v="0"/>
    <n v="39.299999999999997"/>
    <x v="864"/>
    <x v="39"/>
    <d v="2025-02-20T00:00:00"/>
    <x v="2"/>
    <x v="1"/>
    <x v="1"/>
    <x v="0"/>
    <x v="49"/>
    <x v="11"/>
    <x v="6"/>
    <x v="2"/>
  </r>
  <r>
    <x v="1002"/>
    <x v="4"/>
    <x v="7"/>
    <n v="48.8"/>
    <x v="865"/>
    <x v="39"/>
    <d v="2025-02-11T00:00:00"/>
    <x v="2"/>
    <x v="3"/>
    <x v="1"/>
    <x v="0"/>
    <x v="25"/>
    <x v="1"/>
    <x v="6"/>
    <x v="2"/>
  </r>
  <r>
    <x v="1003"/>
    <x v="6"/>
    <x v="8"/>
    <n v="72.8"/>
    <x v="866"/>
    <x v="39"/>
    <d v="2025-02-11T00:00:00"/>
    <x v="1"/>
    <x v="1"/>
    <x v="2"/>
    <x v="0"/>
    <x v="5"/>
    <x v="1"/>
    <x v="6"/>
    <x v="1"/>
  </r>
  <r>
    <x v="1004"/>
    <x v="10"/>
    <x v="8"/>
    <n v="46.2"/>
    <x v="867"/>
    <x v="39"/>
    <d v="2025-02-10T00:00:00"/>
    <x v="1"/>
    <x v="3"/>
    <x v="4"/>
    <x v="0"/>
    <x v="5"/>
    <x v="3"/>
    <x v="6"/>
    <x v="1"/>
  </r>
  <r>
    <x v="1005"/>
    <x v="4"/>
    <x v="1"/>
    <n v="20.7"/>
    <x v="50"/>
    <x v="39"/>
    <d v="2025-02-10T00:00:00"/>
    <x v="2"/>
    <x v="2"/>
    <x v="3"/>
    <x v="0"/>
    <x v="6"/>
    <x v="3"/>
    <x v="6"/>
    <x v="2"/>
  </r>
  <r>
    <x v="1006"/>
    <x v="0"/>
    <x v="0"/>
    <n v="35.700000000000003"/>
    <x v="519"/>
    <x v="39"/>
    <d v="2025-02-11T00:00:00"/>
    <x v="2"/>
    <x v="3"/>
    <x v="0"/>
    <x v="0"/>
    <x v="6"/>
    <x v="1"/>
    <x v="6"/>
    <x v="2"/>
  </r>
  <r>
    <x v="1007"/>
    <x v="2"/>
    <x v="27"/>
    <n v="166.2"/>
    <x v="868"/>
    <x v="39"/>
    <d v="2025-02-11T00:00:00"/>
    <x v="0"/>
    <x v="2"/>
    <x v="0"/>
    <x v="0"/>
    <x v="7"/>
    <x v="1"/>
    <x v="6"/>
    <x v="0"/>
  </r>
  <r>
    <x v="1008"/>
    <x v="6"/>
    <x v="12"/>
    <n v="85.8"/>
    <x v="869"/>
    <x v="39"/>
    <d v="2025-02-10T00:00:00"/>
    <x v="2"/>
    <x v="1"/>
    <x v="1"/>
    <x v="0"/>
    <x v="7"/>
    <x v="3"/>
    <x v="6"/>
    <x v="2"/>
  </r>
  <r>
    <x v="1009"/>
    <x v="8"/>
    <x v="2"/>
    <n v="26"/>
    <x v="292"/>
    <x v="39"/>
    <d v="2025-02-11T00:00:00"/>
    <x v="3"/>
    <x v="1"/>
    <x v="0"/>
    <x v="0"/>
    <x v="7"/>
    <x v="1"/>
    <x v="6"/>
    <x v="3"/>
  </r>
  <r>
    <x v="1010"/>
    <x v="2"/>
    <x v="15"/>
    <n v="116.6"/>
    <x v="870"/>
    <x v="39"/>
    <d v="2025-02-12T00:00:00"/>
    <x v="2"/>
    <x v="0"/>
    <x v="0"/>
    <x v="0"/>
    <x v="8"/>
    <x v="2"/>
    <x v="6"/>
    <x v="2"/>
  </r>
  <r>
    <x v="1011"/>
    <x v="9"/>
    <x v="3"/>
    <n v="53.9"/>
    <x v="871"/>
    <x v="39"/>
    <d v="2025-02-12T00:00:00"/>
    <x v="3"/>
    <x v="0"/>
    <x v="2"/>
    <x v="0"/>
    <x v="8"/>
    <x v="2"/>
    <x v="6"/>
    <x v="3"/>
  </r>
  <r>
    <x v="1012"/>
    <x v="12"/>
    <x v="9"/>
    <n v="72.3"/>
    <x v="785"/>
    <x v="39"/>
    <d v="2025-02-11T00:00:00"/>
    <x v="0"/>
    <x v="2"/>
    <x v="2"/>
    <x v="0"/>
    <x v="8"/>
    <x v="1"/>
    <x v="6"/>
    <x v="0"/>
  </r>
  <r>
    <x v="1013"/>
    <x v="5"/>
    <x v="1"/>
    <n v="31.4"/>
    <x v="143"/>
    <x v="39"/>
    <d v="2025-02-11T00:00:00"/>
    <x v="2"/>
    <x v="0"/>
    <x v="0"/>
    <x v="0"/>
    <x v="8"/>
    <x v="1"/>
    <x v="6"/>
    <x v="2"/>
  </r>
  <r>
    <x v="1014"/>
    <x v="13"/>
    <x v="1"/>
    <n v="53.1"/>
    <x v="872"/>
    <x v="39"/>
    <d v="2025-02-12T00:00:00"/>
    <x v="1"/>
    <x v="1"/>
    <x v="0"/>
    <x v="0"/>
    <x v="8"/>
    <x v="2"/>
    <x v="6"/>
    <x v="1"/>
  </r>
  <r>
    <x v="1015"/>
    <x v="2"/>
    <x v="12"/>
    <n v="56.2"/>
    <x v="873"/>
    <x v="39"/>
    <d v="2025-02-10T00:00:00"/>
    <x v="2"/>
    <x v="0"/>
    <x v="0"/>
    <x v="0"/>
    <x v="8"/>
    <x v="3"/>
    <x v="6"/>
    <x v="2"/>
  </r>
  <r>
    <x v="1016"/>
    <x v="1"/>
    <x v="7"/>
    <n v="77.3"/>
    <x v="874"/>
    <x v="39"/>
    <d v="2025-02-10T00:00:00"/>
    <x v="2"/>
    <x v="2"/>
    <x v="0"/>
    <x v="0"/>
    <x v="11"/>
    <x v="3"/>
    <x v="6"/>
    <x v="2"/>
  </r>
  <r>
    <x v="1017"/>
    <x v="6"/>
    <x v="15"/>
    <n v="57.8"/>
    <x v="875"/>
    <x v="39"/>
    <d v="2025-02-10T00:00:00"/>
    <x v="0"/>
    <x v="0"/>
    <x v="0"/>
    <x v="0"/>
    <x v="53"/>
    <x v="3"/>
    <x v="6"/>
    <x v="0"/>
  </r>
  <r>
    <x v="1018"/>
    <x v="12"/>
    <x v="20"/>
    <n v="42.1"/>
    <x v="876"/>
    <x v="39"/>
    <d v="2025-02-11T00:00:00"/>
    <x v="2"/>
    <x v="1"/>
    <x v="1"/>
    <x v="0"/>
    <x v="53"/>
    <x v="1"/>
    <x v="6"/>
    <x v="2"/>
  </r>
  <r>
    <x v="1019"/>
    <x v="8"/>
    <x v="11"/>
    <n v="22.8"/>
    <x v="877"/>
    <x v="39"/>
    <d v="2025-02-13T00:00:00"/>
    <x v="1"/>
    <x v="2"/>
    <x v="2"/>
    <x v="0"/>
    <x v="19"/>
    <x v="5"/>
    <x v="6"/>
    <x v="1"/>
  </r>
  <r>
    <x v="1020"/>
    <x v="2"/>
    <x v="2"/>
    <n v="171.1"/>
    <x v="878"/>
    <x v="40"/>
    <d v="2025-02-17T00:00:00"/>
    <x v="2"/>
    <x v="2"/>
    <x v="1"/>
    <x v="0"/>
    <x v="19"/>
    <x v="6"/>
    <x v="6"/>
    <x v="2"/>
  </r>
  <r>
    <x v="1021"/>
    <x v="8"/>
    <x v="0"/>
    <n v="28"/>
    <x v="879"/>
    <x v="40"/>
    <d v="2025-02-12T00:00:00"/>
    <x v="1"/>
    <x v="2"/>
    <x v="2"/>
    <x v="0"/>
    <x v="21"/>
    <x v="1"/>
    <x v="6"/>
    <x v="1"/>
  </r>
  <r>
    <x v="1022"/>
    <x v="6"/>
    <x v="3"/>
    <n v="50.2"/>
    <x v="880"/>
    <x v="40"/>
    <d v="2025-02-12T00:00:00"/>
    <x v="1"/>
    <x v="2"/>
    <x v="0"/>
    <x v="0"/>
    <x v="21"/>
    <x v="1"/>
    <x v="6"/>
    <x v="1"/>
  </r>
  <r>
    <x v="1023"/>
    <x v="6"/>
    <x v="1"/>
    <n v="56"/>
    <x v="881"/>
    <x v="40"/>
    <d v="2025-02-10T00:00:00"/>
    <x v="1"/>
    <x v="0"/>
    <x v="2"/>
    <x v="0"/>
    <x v="22"/>
    <x v="7"/>
    <x v="6"/>
    <x v="1"/>
  </r>
  <r>
    <x v="1024"/>
    <x v="1"/>
    <x v="1"/>
    <n v="38.299999999999997"/>
    <x v="882"/>
    <x v="40"/>
    <d v="2025-02-11T00:00:00"/>
    <x v="2"/>
    <x v="1"/>
    <x v="0"/>
    <x v="0"/>
    <x v="3"/>
    <x v="3"/>
    <x v="6"/>
    <x v="2"/>
  </r>
  <r>
    <x v="1025"/>
    <x v="0"/>
    <x v="9"/>
    <n v="22.3"/>
    <x v="883"/>
    <x v="40"/>
    <d v="2025-02-14T00:00:00"/>
    <x v="2"/>
    <x v="2"/>
    <x v="1"/>
    <x v="0"/>
    <x v="3"/>
    <x v="5"/>
    <x v="6"/>
    <x v="2"/>
  </r>
  <r>
    <x v="1026"/>
    <x v="0"/>
    <x v="2"/>
    <n v="22.3"/>
    <x v="884"/>
    <x v="40"/>
    <d v="2025-02-13T00:00:00"/>
    <x v="2"/>
    <x v="2"/>
    <x v="0"/>
    <x v="0"/>
    <x v="3"/>
    <x v="2"/>
    <x v="6"/>
    <x v="2"/>
  </r>
  <r>
    <x v="1027"/>
    <x v="1"/>
    <x v="0"/>
    <n v="32.9"/>
    <x v="860"/>
    <x v="40"/>
    <d v="2025-02-15T00:00:00"/>
    <x v="2"/>
    <x v="0"/>
    <x v="0"/>
    <x v="0"/>
    <x v="3"/>
    <x v="0"/>
    <x v="6"/>
    <x v="2"/>
  </r>
  <r>
    <x v="1028"/>
    <x v="10"/>
    <x v="2"/>
    <n v="31.9"/>
    <x v="802"/>
    <x v="40"/>
    <d v="2025-02-15T00:00:00"/>
    <x v="2"/>
    <x v="0"/>
    <x v="0"/>
    <x v="0"/>
    <x v="3"/>
    <x v="0"/>
    <x v="6"/>
    <x v="2"/>
  </r>
  <r>
    <x v="1029"/>
    <x v="6"/>
    <x v="1"/>
    <n v="94"/>
    <x v="885"/>
    <x v="40"/>
    <d v="2025-02-11T00:00:00"/>
    <x v="1"/>
    <x v="2"/>
    <x v="2"/>
    <x v="0"/>
    <x v="3"/>
    <x v="3"/>
    <x v="6"/>
    <x v="1"/>
  </r>
  <r>
    <x v="1030"/>
    <x v="10"/>
    <x v="1"/>
    <n v="30.7"/>
    <x v="886"/>
    <x v="40"/>
    <d v="2025-02-11T00:00:00"/>
    <x v="2"/>
    <x v="0"/>
    <x v="1"/>
    <x v="0"/>
    <x v="3"/>
    <x v="3"/>
    <x v="6"/>
    <x v="2"/>
  </r>
  <r>
    <x v="1031"/>
    <x v="5"/>
    <x v="9"/>
    <n v="90.5"/>
    <x v="887"/>
    <x v="40"/>
    <d v="2025-02-17T00:00:00"/>
    <x v="1"/>
    <x v="0"/>
    <x v="2"/>
    <x v="0"/>
    <x v="3"/>
    <x v="6"/>
    <x v="6"/>
    <x v="1"/>
  </r>
  <r>
    <x v="1032"/>
    <x v="8"/>
    <x v="9"/>
    <n v="25.3"/>
    <x v="888"/>
    <x v="40"/>
    <d v="2025-02-14T00:00:00"/>
    <x v="2"/>
    <x v="0"/>
    <x v="2"/>
    <x v="0"/>
    <x v="3"/>
    <x v="5"/>
    <x v="6"/>
    <x v="2"/>
  </r>
  <r>
    <x v="1033"/>
    <x v="6"/>
    <x v="2"/>
    <n v="58.1"/>
    <x v="889"/>
    <x v="40"/>
    <d v="2025-02-14T00:00:00"/>
    <x v="0"/>
    <x v="0"/>
    <x v="2"/>
    <x v="0"/>
    <x v="3"/>
    <x v="5"/>
    <x v="6"/>
    <x v="0"/>
  </r>
  <r>
    <x v="1034"/>
    <x v="2"/>
    <x v="2"/>
    <n v="74.900000000000006"/>
    <x v="890"/>
    <x v="40"/>
    <d v="2025-02-11T00:00:00"/>
    <x v="2"/>
    <x v="4"/>
    <x v="0"/>
    <x v="0"/>
    <x v="3"/>
    <x v="3"/>
    <x v="6"/>
    <x v="2"/>
  </r>
  <r>
    <x v="1035"/>
    <x v="4"/>
    <x v="1"/>
    <n v="32.5"/>
    <x v="891"/>
    <x v="40"/>
    <d v="2025-02-11T00:00:00"/>
    <x v="1"/>
    <x v="2"/>
    <x v="2"/>
    <x v="0"/>
    <x v="43"/>
    <x v="3"/>
    <x v="6"/>
    <x v="1"/>
  </r>
  <r>
    <x v="1036"/>
    <x v="4"/>
    <x v="9"/>
    <n v="62"/>
    <x v="892"/>
    <x v="40"/>
    <d v="2025-02-11T00:00:00"/>
    <x v="1"/>
    <x v="4"/>
    <x v="2"/>
    <x v="0"/>
    <x v="25"/>
    <x v="3"/>
    <x v="6"/>
    <x v="1"/>
  </r>
  <r>
    <x v="1037"/>
    <x v="13"/>
    <x v="13"/>
    <n v="28.9"/>
    <x v="893"/>
    <x v="40"/>
    <d v="2025-02-13T00:00:00"/>
    <x v="2"/>
    <x v="0"/>
    <x v="1"/>
    <x v="0"/>
    <x v="6"/>
    <x v="2"/>
    <x v="6"/>
    <x v="2"/>
  </r>
  <r>
    <x v="1038"/>
    <x v="6"/>
    <x v="8"/>
    <n v="42.8"/>
    <x v="894"/>
    <x v="40"/>
    <d v="2025-02-12T00:00:00"/>
    <x v="2"/>
    <x v="0"/>
    <x v="2"/>
    <x v="0"/>
    <x v="6"/>
    <x v="1"/>
    <x v="6"/>
    <x v="2"/>
  </r>
  <r>
    <x v="1039"/>
    <x v="8"/>
    <x v="8"/>
    <n v="39.4"/>
    <x v="895"/>
    <x v="40"/>
    <d v="2025-02-12T00:00:00"/>
    <x v="1"/>
    <x v="0"/>
    <x v="0"/>
    <x v="0"/>
    <x v="36"/>
    <x v="1"/>
    <x v="6"/>
    <x v="1"/>
  </r>
  <r>
    <x v="1040"/>
    <x v="18"/>
    <x v="2"/>
    <n v="66.400000000000006"/>
    <x v="896"/>
    <x v="40"/>
    <d v="2025-02-11T00:00:00"/>
    <x v="0"/>
    <x v="2"/>
    <x v="1"/>
    <x v="0"/>
    <x v="7"/>
    <x v="3"/>
    <x v="6"/>
    <x v="0"/>
  </r>
  <r>
    <x v="1041"/>
    <x v="17"/>
    <x v="12"/>
    <n v="35.9"/>
    <x v="897"/>
    <x v="40"/>
    <d v="2025-02-17T00:00:00"/>
    <x v="2"/>
    <x v="1"/>
    <x v="0"/>
    <x v="0"/>
    <x v="7"/>
    <x v="6"/>
    <x v="6"/>
    <x v="2"/>
  </r>
  <r>
    <x v="1042"/>
    <x v="0"/>
    <x v="12"/>
    <n v="26.9"/>
    <x v="799"/>
    <x v="40"/>
    <d v="2025-02-11T00:00:00"/>
    <x v="1"/>
    <x v="1"/>
    <x v="0"/>
    <x v="0"/>
    <x v="7"/>
    <x v="3"/>
    <x v="6"/>
    <x v="1"/>
  </r>
  <r>
    <x v="1043"/>
    <x v="2"/>
    <x v="0"/>
    <n v="55.1"/>
    <x v="898"/>
    <x v="40"/>
    <d v="2025-02-11T00:00:00"/>
    <x v="2"/>
    <x v="0"/>
    <x v="0"/>
    <x v="0"/>
    <x v="7"/>
    <x v="3"/>
    <x v="6"/>
    <x v="2"/>
  </r>
  <r>
    <x v="1044"/>
    <x v="4"/>
    <x v="1"/>
    <n v="23.9"/>
    <x v="538"/>
    <x v="40"/>
    <d v="2025-02-11T00:00:00"/>
    <x v="1"/>
    <x v="0"/>
    <x v="2"/>
    <x v="0"/>
    <x v="8"/>
    <x v="3"/>
    <x v="6"/>
    <x v="1"/>
  </r>
  <r>
    <x v="1045"/>
    <x v="9"/>
    <x v="15"/>
    <n v="21.1"/>
    <x v="899"/>
    <x v="40"/>
    <d v="2025-02-18T00:00:00"/>
    <x v="2"/>
    <x v="0"/>
    <x v="1"/>
    <x v="0"/>
    <x v="8"/>
    <x v="9"/>
    <x v="6"/>
    <x v="2"/>
  </r>
  <r>
    <x v="1046"/>
    <x v="8"/>
    <x v="9"/>
    <n v="33.799999999999997"/>
    <x v="900"/>
    <x v="40"/>
    <d v="2025-02-12T00:00:00"/>
    <x v="2"/>
    <x v="0"/>
    <x v="0"/>
    <x v="0"/>
    <x v="8"/>
    <x v="1"/>
    <x v="6"/>
    <x v="2"/>
  </r>
  <r>
    <x v="1047"/>
    <x v="2"/>
    <x v="12"/>
    <n v="56.1"/>
    <x v="901"/>
    <x v="40"/>
    <d v="2025-02-10T00:00:00"/>
    <x v="2"/>
    <x v="3"/>
    <x v="2"/>
    <x v="0"/>
    <x v="9"/>
    <x v="7"/>
    <x v="6"/>
    <x v="2"/>
  </r>
  <r>
    <x v="1048"/>
    <x v="3"/>
    <x v="0"/>
    <n v="58.5"/>
    <x v="902"/>
    <x v="41"/>
    <d v="2025-02-15T00:00:00"/>
    <x v="2"/>
    <x v="1"/>
    <x v="2"/>
    <x v="0"/>
    <x v="9"/>
    <x v="5"/>
    <x v="6"/>
    <x v="2"/>
  </r>
  <r>
    <x v="1049"/>
    <x v="6"/>
    <x v="0"/>
    <n v="84.2"/>
    <x v="903"/>
    <x v="41"/>
    <d v="2025-02-13T00:00:00"/>
    <x v="1"/>
    <x v="3"/>
    <x v="0"/>
    <x v="0"/>
    <x v="11"/>
    <x v="1"/>
    <x v="6"/>
    <x v="1"/>
  </r>
  <r>
    <x v="1050"/>
    <x v="11"/>
    <x v="12"/>
    <n v="52"/>
    <x v="904"/>
    <x v="41"/>
    <d v="2025-02-14T00:00:00"/>
    <x v="1"/>
    <x v="0"/>
    <x v="0"/>
    <x v="0"/>
    <x v="11"/>
    <x v="2"/>
    <x v="6"/>
    <x v="1"/>
  </r>
  <r>
    <x v="1051"/>
    <x v="4"/>
    <x v="9"/>
    <n v="31.5"/>
    <x v="905"/>
    <x v="41"/>
    <d v="2025-02-12T00:00:00"/>
    <x v="2"/>
    <x v="0"/>
    <x v="2"/>
    <x v="0"/>
    <x v="11"/>
    <x v="3"/>
    <x v="6"/>
    <x v="2"/>
  </r>
  <r>
    <x v="1052"/>
    <x v="16"/>
    <x v="2"/>
    <n v="46.2"/>
    <x v="209"/>
    <x v="41"/>
    <d v="2025-02-12T00:00:00"/>
    <x v="1"/>
    <x v="0"/>
    <x v="0"/>
    <x v="0"/>
    <x v="53"/>
    <x v="3"/>
    <x v="6"/>
    <x v="1"/>
  </r>
  <r>
    <x v="1053"/>
    <x v="2"/>
    <x v="13"/>
    <n v="135"/>
    <x v="906"/>
    <x v="41"/>
    <d v="2025-02-12T00:00:00"/>
    <x v="2"/>
    <x v="1"/>
    <x v="2"/>
    <x v="0"/>
    <x v="18"/>
    <x v="3"/>
    <x v="6"/>
    <x v="2"/>
  </r>
  <r>
    <x v="1054"/>
    <x v="12"/>
    <x v="2"/>
    <n v="92.2"/>
    <x v="907"/>
    <x v="41"/>
    <d v="2025-02-15T00:00:00"/>
    <x v="1"/>
    <x v="0"/>
    <x v="0"/>
    <x v="0"/>
    <x v="21"/>
    <x v="5"/>
    <x v="6"/>
    <x v="1"/>
  </r>
  <r>
    <x v="1055"/>
    <x v="8"/>
    <x v="0"/>
    <n v="36.6"/>
    <x v="547"/>
    <x v="41"/>
    <d v="2025-02-13T00:00:00"/>
    <x v="1"/>
    <x v="2"/>
    <x v="2"/>
    <x v="0"/>
    <x v="21"/>
    <x v="1"/>
    <x v="6"/>
    <x v="1"/>
  </r>
  <r>
    <x v="1056"/>
    <x v="9"/>
    <x v="1"/>
    <n v="50.6"/>
    <x v="855"/>
    <x v="41"/>
    <d v="2025-02-14T00:00:00"/>
    <x v="2"/>
    <x v="0"/>
    <x v="0"/>
    <x v="0"/>
    <x v="2"/>
    <x v="2"/>
    <x v="6"/>
    <x v="2"/>
  </r>
  <r>
    <x v="1057"/>
    <x v="18"/>
    <x v="3"/>
    <n v="56.7"/>
    <x v="908"/>
    <x v="41"/>
    <d v="2025-02-14T00:00:00"/>
    <x v="2"/>
    <x v="0"/>
    <x v="0"/>
    <x v="0"/>
    <x v="2"/>
    <x v="2"/>
    <x v="6"/>
    <x v="2"/>
  </r>
  <r>
    <x v="1058"/>
    <x v="9"/>
    <x v="15"/>
    <n v="22.9"/>
    <x v="909"/>
    <x v="41"/>
    <d v="2025-02-12T00:00:00"/>
    <x v="2"/>
    <x v="0"/>
    <x v="1"/>
    <x v="0"/>
    <x v="44"/>
    <x v="3"/>
    <x v="6"/>
    <x v="2"/>
  </r>
  <r>
    <x v="1059"/>
    <x v="15"/>
    <x v="10"/>
    <n v="53.6"/>
    <x v="910"/>
    <x v="41"/>
    <d v="2025-02-12T00:00:00"/>
    <x v="1"/>
    <x v="0"/>
    <x v="0"/>
    <x v="0"/>
    <x v="22"/>
    <x v="3"/>
    <x v="6"/>
    <x v="1"/>
  </r>
  <r>
    <x v="1060"/>
    <x v="18"/>
    <x v="1"/>
    <n v="30.2"/>
    <x v="266"/>
    <x v="41"/>
    <d v="2025-02-13T00:00:00"/>
    <x v="0"/>
    <x v="2"/>
    <x v="2"/>
    <x v="0"/>
    <x v="3"/>
    <x v="1"/>
    <x v="6"/>
    <x v="0"/>
  </r>
  <r>
    <x v="1061"/>
    <x v="15"/>
    <x v="13"/>
    <n v="83.4"/>
    <x v="911"/>
    <x v="41"/>
    <d v="2025-02-12T00:00:00"/>
    <x v="1"/>
    <x v="1"/>
    <x v="2"/>
    <x v="0"/>
    <x v="3"/>
    <x v="3"/>
    <x v="6"/>
    <x v="1"/>
  </r>
  <r>
    <x v="1062"/>
    <x v="13"/>
    <x v="4"/>
    <n v="16.600000000000001"/>
    <x v="896"/>
    <x v="41"/>
    <d v="2025-02-13T00:00:00"/>
    <x v="1"/>
    <x v="1"/>
    <x v="0"/>
    <x v="0"/>
    <x v="3"/>
    <x v="1"/>
    <x v="6"/>
    <x v="1"/>
  </r>
  <r>
    <x v="1063"/>
    <x v="8"/>
    <x v="14"/>
    <n v="21.9"/>
    <x v="912"/>
    <x v="41"/>
    <d v="2025-02-13T00:00:00"/>
    <x v="2"/>
    <x v="4"/>
    <x v="1"/>
    <x v="0"/>
    <x v="3"/>
    <x v="1"/>
    <x v="6"/>
    <x v="2"/>
  </r>
  <r>
    <x v="1064"/>
    <x v="8"/>
    <x v="31"/>
    <n v="33.799999999999997"/>
    <x v="913"/>
    <x v="41"/>
    <d v="2025-02-13T00:00:00"/>
    <x v="1"/>
    <x v="2"/>
    <x v="4"/>
    <x v="0"/>
    <x v="3"/>
    <x v="1"/>
    <x v="6"/>
    <x v="1"/>
  </r>
  <r>
    <x v="1065"/>
    <x v="18"/>
    <x v="1"/>
    <n v="53.2"/>
    <x v="793"/>
    <x v="41"/>
    <d v="2025-02-11T00:00:00"/>
    <x v="1"/>
    <x v="1"/>
    <x v="0"/>
    <x v="0"/>
    <x v="3"/>
    <x v="7"/>
    <x v="6"/>
    <x v="1"/>
  </r>
  <r>
    <x v="1066"/>
    <x v="2"/>
    <x v="1"/>
    <n v="176.7"/>
    <x v="914"/>
    <x v="41"/>
    <d v="2025-02-14T00:00:00"/>
    <x v="2"/>
    <x v="2"/>
    <x v="0"/>
    <x v="0"/>
    <x v="3"/>
    <x v="2"/>
    <x v="6"/>
    <x v="2"/>
  </r>
  <r>
    <x v="1067"/>
    <x v="12"/>
    <x v="2"/>
    <n v="54"/>
    <x v="915"/>
    <x v="41"/>
    <d v="2025-02-14T00:00:00"/>
    <x v="1"/>
    <x v="0"/>
    <x v="1"/>
    <x v="0"/>
    <x v="3"/>
    <x v="2"/>
    <x v="6"/>
    <x v="1"/>
  </r>
  <r>
    <x v="1068"/>
    <x v="9"/>
    <x v="1"/>
    <n v="70.099999999999994"/>
    <x v="634"/>
    <x v="41"/>
    <d v="2025-02-19T00:00:00"/>
    <x v="2"/>
    <x v="3"/>
    <x v="2"/>
    <x v="0"/>
    <x v="3"/>
    <x v="9"/>
    <x v="6"/>
    <x v="2"/>
  </r>
  <r>
    <x v="1069"/>
    <x v="8"/>
    <x v="0"/>
    <n v="26.5"/>
    <x v="38"/>
    <x v="41"/>
    <d v="2025-02-13T00:00:00"/>
    <x v="2"/>
    <x v="1"/>
    <x v="0"/>
    <x v="0"/>
    <x v="3"/>
    <x v="1"/>
    <x v="6"/>
    <x v="2"/>
  </r>
  <r>
    <x v="1070"/>
    <x v="7"/>
    <x v="9"/>
    <n v="89"/>
    <x v="916"/>
    <x v="41"/>
    <d v="2025-02-13T00:00:00"/>
    <x v="1"/>
    <x v="2"/>
    <x v="4"/>
    <x v="0"/>
    <x v="3"/>
    <x v="1"/>
    <x v="6"/>
    <x v="1"/>
  </r>
  <r>
    <x v="1071"/>
    <x v="1"/>
    <x v="13"/>
    <n v="47"/>
    <x v="917"/>
    <x v="41"/>
    <d v="2025-02-14T00:00:00"/>
    <x v="2"/>
    <x v="3"/>
    <x v="0"/>
    <x v="0"/>
    <x v="24"/>
    <x v="2"/>
    <x v="6"/>
    <x v="2"/>
  </r>
  <r>
    <x v="1072"/>
    <x v="3"/>
    <x v="1"/>
    <n v="55.2"/>
    <x v="918"/>
    <x v="41"/>
    <d v="2025-02-14T00:00:00"/>
    <x v="1"/>
    <x v="1"/>
    <x v="1"/>
    <x v="0"/>
    <x v="6"/>
    <x v="2"/>
    <x v="6"/>
    <x v="1"/>
  </r>
  <r>
    <x v="1073"/>
    <x v="8"/>
    <x v="39"/>
    <n v="33.299999999999997"/>
    <x v="919"/>
    <x v="41"/>
    <d v="2025-02-25T00:00:00"/>
    <x v="1"/>
    <x v="1"/>
    <x v="2"/>
    <x v="0"/>
    <x v="6"/>
    <x v="12"/>
    <x v="6"/>
    <x v="1"/>
  </r>
  <r>
    <x v="1074"/>
    <x v="2"/>
    <x v="12"/>
    <n v="110.9"/>
    <x v="920"/>
    <x v="42"/>
    <d v="2025-02-12T00:00:00"/>
    <x v="1"/>
    <x v="2"/>
    <x v="4"/>
    <x v="0"/>
    <x v="6"/>
    <x v="7"/>
    <x v="6"/>
    <x v="1"/>
  </r>
  <r>
    <x v="1075"/>
    <x v="2"/>
    <x v="13"/>
    <n v="67.3"/>
    <x v="921"/>
    <x v="42"/>
    <d v="2025-02-13T00:00:00"/>
    <x v="1"/>
    <x v="0"/>
    <x v="0"/>
    <x v="0"/>
    <x v="8"/>
    <x v="3"/>
    <x v="6"/>
    <x v="1"/>
  </r>
  <r>
    <x v="1076"/>
    <x v="6"/>
    <x v="2"/>
    <n v="69.7"/>
    <x v="922"/>
    <x v="42"/>
    <d v="2025-02-13T00:00:00"/>
    <x v="1"/>
    <x v="2"/>
    <x v="1"/>
    <x v="0"/>
    <x v="8"/>
    <x v="3"/>
    <x v="6"/>
    <x v="1"/>
  </r>
  <r>
    <x v="1077"/>
    <x v="5"/>
    <x v="0"/>
    <n v="39.1"/>
    <x v="923"/>
    <x v="42"/>
    <d v="2025-02-17T00:00:00"/>
    <x v="1"/>
    <x v="0"/>
    <x v="1"/>
    <x v="0"/>
    <x v="17"/>
    <x v="0"/>
    <x v="6"/>
    <x v="1"/>
  </r>
  <r>
    <x v="1078"/>
    <x v="2"/>
    <x v="2"/>
    <n v="208.6"/>
    <x v="924"/>
    <x v="42"/>
    <d v="2025-02-12T00:00:00"/>
    <x v="1"/>
    <x v="4"/>
    <x v="2"/>
    <x v="0"/>
    <x v="17"/>
    <x v="7"/>
    <x v="6"/>
    <x v="1"/>
  </r>
  <r>
    <x v="1079"/>
    <x v="15"/>
    <x v="2"/>
    <n v="27.8"/>
    <x v="925"/>
    <x v="42"/>
    <d v="2025-02-13T00:00:00"/>
    <x v="1"/>
    <x v="3"/>
    <x v="1"/>
    <x v="0"/>
    <x v="11"/>
    <x v="3"/>
    <x v="6"/>
    <x v="1"/>
  </r>
  <r>
    <x v="1080"/>
    <x v="10"/>
    <x v="9"/>
    <n v="29.4"/>
    <x v="926"/>
    <x v="42"/>
    <d v="2025-02-14T00:00:00"/>
    <x v="2"/>
    <x v="0"/>
    <x v="0"/>
    <x v="0"/>
    <x v="11"/>
    <x v="1"/>
    <x v="6"/>
    <x v="2"/>
  </r>
  <r>
    <x v="1081"/>
    <x v="9"/>
    <x v="1"/>
    <n v="29.2"/>
    <x v="305"/>
    <x v="42"/>
    <d v="2025-02-14T00:00:00"/>
    <x v="2"/>
    <x v="1"/>
    <x v="2"/>
    <x v="0"/>
    <x v="20"/>
    <x v="1"/>
    <x v="6"/>
    <x v="2"/>
  </r>
  <r>
    <x v="1082"/>
    <x v="10"/>
    <x v="9"/>
    <n v="26.5"/>
    <x v="927"/>
    <x v="42"/>
    <d v="2025-02-14T00:00:00"/>
    <x v="2"/>
    <x v="0"/>
    <x v="0"/>
    <x v="0"/>
    <x v="52"/>
    <x v="1"/>
    <x v="6"/>
    <x v="2"/>
  </r>
  <r>
    <x v="1083"/>
    <x v="5"/>
    <x v="0"/>
    <n v="30.3"/>
    <x v="928"/>
    <x v="42"/>
    <d v="2025-02-13T00:00:00"/>
    <x v="2"/>
    <x v="4"/>
    <x v="1"/>
    <x v="0"/>
    <x v="13"/>
    <x v="3"/>
    <x v="6"/>
    <x v="2"/>
  </r>
  <r>
    <x v="1084"/>
    <x v="16"/>
    <x v="4"/>
    <n v="39.700000000000003"/>
    <x v="929"/>
    <x v="42"/>
    <d v="2025-02-13T00:00:00"/>
    <x v="2"/>
    <x v="0"/>
    <x v="0"/>
    <x v="0"/>
    <x v="21"/>
    <x v="3"/>
    <x v="6"/>
    <x v="2"/>
  </r>
  <r>
    <x v="1085"/>
    <x v="7"/>
    <x v="7"/>
    <n v="58.9"/>
    <x v="930"/>
    <x v="42"/>
    <d v="2025-02-14T00:00:00"/>
    <x v="2"/>
    <x v="1"/>
    <x v="4"/>
    <x v="0"/>
    <x v="21"/>
    <x v="1"/>
    <x v="6"/>
    <x v="2"/>
  </r>
  <r>
    <x v="1086"/>
    <x v="2"/>
    <x v="1"/>
    <n v="174.1"/>
    <x v="931"/>
    <x v="42"/>
    <d v="2025-02-14T00:00:00"/>
    <x v="2"/>
    <x v="0"/>
    <x v="1"/>
    <x v="0"/>
    <x v="46"/>
    <x v="1"/>
    <x v="6"/>
    <x v="2"/>
  </r>
  <r>
    <x v="1087"/>
    <x v="6"/>
    <x v="1"/>
    <n v="70.8"/>
    <x v="932"/>
    <x v="42"/>
    <d v="2025-02-15T00:00:00"/>
    <x v="1"/>
    <x v="2"/>
    <x v="0"/>
    <x v="0"/>
    <x v="22"/>
    <x v="2"/>
    <x v="6"/>
    <x v="1"/>
  </r>
  <r>
    <x v="1088"/>
    <x v="7"/>
    <x v="1"/>
    <n v="57.4"/>
    <x v="311"/>
    <x v="42"/>
    <d v="2025-02-14T00:00:00"/>
    <x v="2"/>
    <x v="1"/>
    <x v="1"/>
    <x v="0"/>
    <x v="34"/>
    <x v="1"/>
    <x v="6"/>
    <x v="2"/>
  </r>
  <r>
    <x v="1089"/>
    <x v="0"/>
    <x v="1"/>
    <n v="28.5"/>
    <x v="933"/>
    <x v="42"/>
    <d v="2025-02-14T00:00:00"/>
    <x v="1"/>
    <x v="3"/>
    <x v="1"/>
    <x v="0"/>
    <x v="3"/>
    <x v="1"/>
    <x v="6"/>
    <x v="1"/>
  </r>
  <r>
    <x v="1090"/>
    <x v="2"/>
    <x v="28"/>
    <n v="106.6"/>
    <x v="934"/>
    <x v="42"/>
    <d v="2025-02-13T00:00:00"/>
    <x v="0"/>
    <x v="1"/>
    <x v="4"/>
    <x v="0"/>
    <x v="3"/>
    <x v="3"/>
    <x v="6"/>
    <x v="0"/>
  </r>
  <r>
    <x v="1091"/>
    <x v="2"/>
    <x v="2"/>
    <n v="119.7"/>
    <x v="935"/>
    <x v="42"/>
    <d v="2025-02-13T00:00:00"/>
    <x v="2"/>
    <x v="1"/>
    <x v="4"/>
    <x v="0"/>
    <x v="3"/>
    <x v="3"/>
    <x v="6"/>
    <x v="2"/>
  </r>
  <r>
    <x v="1092"/>
    <x v="18"/>
    <x v="0"/>
    <n v="73.3"/>
    <x v="936"/>
    <x v="42"/>
    <d v="2025-02-17T00:00:00"/>
    <x v="2"/>
    <x v="0"/>
    <x v="2"/>
    <x v="0"/>
    <x v="3"/>
    <x v="0"/>
    <x v="6"/>
    <x v="2"/>
  </r>
  <r>
    <x v="1093"/>
    <x v="0"/>
    <x v="1"/>
    <n v="25.8"/>
    <x v="937"/>
    <x v="42"/>
    <d v="2025-02-26T00:00:00"/>
    <x v="1"/>
    <x v="2"/>
    <x v="0"/>
    <x v="0"/>
    <x v="3"/>
    <x v="12"/>
    <x v="6"/>
    <x v="1"/>
  </r>
  <r>
    <x v="1094"/>
    <x v="17"/>
    <x v="2"/>
    <n v="49.1"/>
    <x v="824"/>
    <x v="42"/>
    <d v="2025-02-14T00:00:00"/>
    <x v="2"/>
    <x v="0"/>
    <x v="0"/>
    <x v="0"/>
    <x v="24"/>
    <x v="1"/>
    <x v="6"/>
    <x v="2"/>
  </r>
  <r>
    <x v="1095"/>
    <x v="1"/>
    <x v="0"/>
    <n v="44.9"/>
    <x v="938"/>
    <x v="42"/>
    <d v="2025-02-15T00:00:00"/>
    <x v="2"/>
    <x v="3"/>
    <x v="2"/>
    <x v="0"/>
    <x v="6"/>
    <x v="2"/>
    <x v="6"/>
    <x v="2"/>
  </r>
  <r>
    <x v="1096"/>
    <x v="15"/>
    <x v="3"/>
    <n v="29.9"/>
    <x v="549"/>
    <x v="42"/>
    <d v="2025-02-13T00:00:00"/>
    <x v="2"/>
    <x v="0"/>
    <x v="0"/>
    <x v="0"/>
    <x v="6"/>
    <x v="3"/>
    <x v="6"/>
    <x v="2"/>
  </r>
  <r>
    <x v="1097"/>
    <x v="7"/>
    <x v="1"/>
    <n v="54.3"/>
    <x v="939"/>
    <x v="43"/>
    <d v="2025-02-14T00:00:00"/>
    <x v="1"/>
    <x v="3"/>
    <x v="0"/>
    <x v="0"/>
    <x v="36"/>
    <x v="3"/>
    <x v="6"/>
    <x v="1"/>
  </r>
  <r>
    <x v="1098"/>
    <x v="9"/>
    <x v="12"/>
    <n v="57"/>
    <x v="416"/>
    <x v="43"/>
    <d v="2025-02-15T00:00:00"/>
    <x v="2"/>
    <x v="0"/>
    <x v="0"/>
    <x v="0"/>
    <x v="8"/>
    <x v="1"/>
    <x v="6"/>
    <x v="2"/>
  </r>
  <r>
    <x v="1099"/>
    <x v="2"/>
    <x v="0"/>
    <n v="139.19999999999999"/>
    <x v="388"/>
    <x v="43"/>
    <d v="2025-02-14T00:00:00"/>
    <x v="2"/>
    <x v="3"/>
    <x v="2"/>
    <x v="0"/>
    <x v="8"/>
    <x v="3"/>
    <x v="6"/>
    <x v="2"/>
  </r>
  <r>
    <x v="1100"/>
    <x v="10"/>
    <x v="0"/>
    <n v="33"/>
    <x v="940"/>
    <x v="43"/>
    <d v="2025-02-16T00:00:00"/>
    <x v="2"/>
    <x v="0"/>
    <x v="2"/>
    <x v="0"/>
    <x v="8"/>
    <x v="2"/>
    <x v="6"/>
    <x v="2"/>
  </r>
  <r>
    <x v="1101"/>
    <x v="11"/>
    <x v="13"/>
    <n v="80.2"/>
    <x v="941"/>
    <x v="43"/>
    <d v="2025-02-15T00:00:00"/>
    <x v="1"/>
    <x v="1"/>
    <x v="4"/>
    <x v="0"/>
    <x v="8"/>
    <x v="1"/>
    <x v="6"/>
    <x v="1"/>
  </r>
  <r>
    <x v="1102"/>
    <x v="18"/>
    <x v="8"/>
    <n v="49"/>
    <x v="942"/>
    <x v="43"/>
    <d v="2025-02-14T00:00:00"/>
    <x v="0"/>
    <x v="2"/>
    <x v="1"/>
    <x v="0"/>
    <x v="9"/>
    <x v="3"/>
    <x v="6"/>
    <x v="0"/>
  </r>
  <r>
    <x v="1103"/>
    <x v="1"/>
    <x v="12"/>
    <n v="104.4"/>
    <x v="943"/>
    <x v="43"/>
    <d v="2025-02-13T00:00:00"/>
    <x v="2"/>
    <x v="0"/>
    <x v="0"/>
    <x v="0"/>
    <x v="9"/>
    <x v="7"/>
    <x v="6"/>
    <x v="2"/>
  </r>
  <r>
    <x v="1104"/>
    <x v="3"/>
    <x v="0"/>
    <n v="41.6"/>
    <x v="480"/>
    <x v="43"/>
    <d v="2025-02-16T00:00:00"/>
    <x v="1"/>
    <x v="3"/>
    <x v="0"/>
    <x v="0"/>
    <x v="11"/>
    <x v="2"/>
    <x v="6"/>
    <x v="1"/>
  </r>
  <r>
    <x v="1105"/>
    <x v="19"/>
    <x v="1"/>
    <n v="16.399999999999999"/>
    <x v="944"/>
    <x v="43"/>
    <d v="2025-02-14T00:00:00"/>
    <x v="3"/>
    <x v="0"/>
    <x v="2"/>
    <x v="0"/>
    <x v="11"/>
    <x v="3"/>
    <x v="6"/>
    <x v="3"/>
  </r>
  <r>
    <x v="1106"/>
    <x v="8"/>
    <x v="1"/>
    <n v="22"/>
    <x v="945"/>
    <x v="43"/>
    <d v="2025-02-14T00:00:00"/>
    <x v="1"/>
    <x v="2"/>
    <x v="2"/>
    <x v="0"/>
    <x v="53"/>
    <x v="3"/>
    <x v="6"/>
    <x v="1"/>
  </r>
  <r>
    <x v="1107"/>
    <x v="15"/>
    <x v="1"/>
    <n v="33.6"/>
    <x v="863"/>
    <x v="43"/>
    <d v="2025-02-18T00:00:00"/>
    <x v="2"/>
    <x v="0"/>
    <x v="0"/>
    <x v="0"/>
    <x v="21"/>
    <x v="0"/>
    <x v="6"/>
    <x v="2"/>
  </r>
  <r>
    <x v="1108"/>
    <x v="11"/>
    <x v="13"/>
    <n v="43"/>
    <x v="946"/>
    <x v="43"/>
    <d v="2025-02-14T00:00:00"/>
    <x v="2"/>
    <x v="2"/>
    <x v="0"/>
    <x v="0"/>
    <x v="21"/>
    <x v="3"/>
    <x v="6"/>
    <x v="2"/>
  </r>
  <r>
    <x v="1109"/>
    <x v="6"/>
    <x v="9"/>
    <n v="108.8"/>
    <x v="947"/>
    <x v="43"/>
    <d v="2025-02-16T00:00:00"/>
    <x v="2"/>
    <x v="4"/>
    <x v="2"/>
    <x v="0"/>
    <x v="21"/>
    <x v="2"/>
    <x v="6"/>
    <x v="2"/>
  </r>
  <r>
    <x v="1110"/>
    <x v="0"/>
    <x v="11"/>
    <n v="29.3"/>
    <x v="948"/>
    <x v="43"/>
    <d v="2025-02-15T00:00:00"/>
    <x v="1"/>
    <x v="4"/>
    <x v="2"/>
    <x v="0"/>
    <x v="21"/>
    <x v="1"/>
    <x v="6"/>
    <x v="1"/>
  </r>
  <r>
    <x v="1111"/>
    <x v="2"/>
    <x v="0"/>
    <n v="122.7"/>
    <x v="949"/>
    <x v="43"/>
    <d v="2025-02-16T00:00:00"/>
    <x v="3"/>
    <x v="0"/>
    <x v="2"/>
    <x v="0"/>
    <x v="1"/>
    <x v="2"/>
    <x v="6"/>
    <x v="3"/>
  </r>
  <r>
    <x v="1112"/>
    <x v="4"/>
    <x v="3"/>
    <n v="22.9"/>
    <x v="950"/>
    <x v="43"/>
    <d v="2025-02-14T00:00:00"/>
    <x v="2"/>
    <x v="0"/>
    <x v="0"/>
    <x v="0"/>
    <x v="42"/>
    <x v="3"/>
    <x v="6"/>
    <x v="2"/>
  </r>
  <r>
    <x v="1113"/>
    <x v="8"/>
    <x v="7"/>
    <n v="25.5"/>
    <x v="951"/>
    <x v="43"/>
    <d v="2025-02-20T00:00:00"/>
    <x v="2"/>
    <x v="0"/>
    <x v="0"/>
    <x v="0"/>
    <x v="33"/>
    <x v="6"/>
    <x v="6"/>
    <x v="2"/>
  </r>
  <r>
    <x v="1114"/>
    <x v="17"/>
    <x v="2"/>
    <n v="23.4"/>
    <x v="952"/>
    <x v="43"/>
    <d v="2025-02-17T00:00:00"/>
    <x v="2"/>
    <x v="0"/>
    <x v="2"/>
    <x v="0"/>
    <x v="3"/>
    <x v="5"/>
    <x v="6"/>
    <x v="2"/>
  </r>
  <r>
    <x v="1115"/>
    <x v="5"/>
    <x v="8"/>
    <n v="27.4"/>
    <x v="77"/>
    <x v="43"/>
    <d v="2025-02-16T00:00:00"/>
    <x v="2"/>
    <x v="2"/>
    <x v="0"/>
    <x v="0"/>
    <x v="3"/>
    <x v="2"/>
    <x v="6"/>
    <x v="2"/>
  </r>
  <r>
    <x v="1116"/>
    <x v="5"/>
    <x v="9"/>
    <n v="68.400000000000006"/>
    <x v="953"/>
    <x v="43"/>
    <d v="2025-02-14T00:00:00"/>
    <x v="2"/>
    <x v="0"/>
    <x v="0"/>
    <x v="0"/>
    <x v="3"/>
    <x v="3"/>
    <x v="6"/>
    <x v="2"/>
  </r>
  <r>
    <x v="1117"/>
    <x v="6"/>
    <x v="0"/>
    <n v="51.9"/>
    <x v="954"/>
    <x v="43"/>
    <d v="2025-02-13T00:00:00"/>
    <x v="2"/>
    <x v="0"/>
    <x v="0"/>
    <x v="0"/>
    <x v="3"/>
    <x v="7"/>
    <x v="6"/>
    <x v="2"/>
  </r>
  <r>
    <x v="1118"/>
    <x v="0"/>
    <x v="9"/>
    <n v="26.4"/>
    <x v="955"/>
    <x v="43"/>
    <d v="2025-02-16T00:00:00"/>
    <x v="2"/>
    <x v="0"/>
    <x v="2"/>
    <x v="0"/>
    <x v="3"/>
    <x v="2"/>
    <x v="6"/>
    <x v="2"/>
  </r>
  <r>
    <x v="1119"/>
    <x v="12"/>
    <x v="1"/>
    <n v="117"/>
    <x v="540"/>
    <x v="43"/>
    <d v="2025-02-14T00:00:00"/>
    <x v="2"/>
    <x v="1"/>
    <x v="1"/>
    <x v="0"/>
    <x v="3"/>
    <x v="3"/>
    <x v="6"/>
    <x v="2"/>
  </r>
  <r>
    <x v="1120"/>
    <x v="7"/>
    <x v="2"/>
    <n v="49.6"/>
    <x v="956"/>
    <x v="44"/>
    <d v="2025-02-16T00:00:00"/>
    <x v="2"/>
    <x v="0"/>
    <x v="0"/>
    <x v="0"/>
    <x v="3"/>
    <x v="1"/>
    <x v="6"/>
    <x v="2"/>
  </r>
  <r>
    <x v="1121"/>
    <x v="4"/>
    <x v="2"/>
    <n v="38"/>
    <x v="717"/>
    <x v="44"/>
    <d v="2025-02-17T00:00:00"/>
    <x v="1"/>
    <x v="2"/>
    <x v="4"/>
    <x v="0"/>
    <x v="3"/>
    <x v="2"/>
    <x v="6"/>
    <x v="1"/>
  </r>
  <r>
    <x v="1122"/>
    <x v="0"/>
    <x v="2"/>
    <n v="20.6"/>
    <x v="957"/>
    <x v="44"/>
    <d v="2025-02-16T00:00:00"/>
    <x v="2"/>
    <x v="4"/>
    <x v="2"/>
    <x v="0"/>
    <x v="3"/>
    <x v="1"/>
    <x v="6"/>
    <x v="2"/>
  </r>
  <r>
    <x v="1123"/>
    <x v="0"/>
    <x v="1"/>
    <n v="16"/>
    <x v="109"/>
    <x v="44"/>
    <d v="2025-02-15T00:00:00"/>
    <x v="1"/>
    <x v="1"/>
    <x v="1"/>
    <x v="0"/>
    <x v="49"/>
    <x v="3"/>
    <x v="6"/>
    <x v="1"/>
  </r>
  <r>
    <x v="1124"/>
    <x v="15"/>
    <x v="12"/>
    <n v="49.3"/>
    <x v="958"/>
    <x v="44"/>
    <d v="2025-02-15T00:00:00"/>
    <x v="2"/>
    <x v="2"/>
    <x v="0"/>
    <x v="0"/>
    <x v="23"/>
    <x v="3"/>
    <x v="6"/>
    <x v="2"/>
  </r>
  <r>
    <x v="1125"/>
    <x v="9"/>
    <x v="1"/>
    <n v="24.1"/>
    <x v="959"/>
    <x v="44"/>
    <d v="2025-02-18T00:00:00"/>
    <x v="2"/>
    <x v="0"/>
    <x v="0"/>
    <x v="0"/>
    <x v="6"/>
    <x v="5"/>
    <x v="6"/>
    <x v="2"/>
  </r>
  <r>
    <x v="1126"/>
    <x v="15"/>
    <x v="8"/>
    <n v="32.700000000000003"/>
    <x v="960"/>
    <x v="44"/>
    <d v="2025-02-15T00:00:00"/>
    <x v="2"/>
    <x v="1"/>
    <x v="0"/>
    <x v="0"/>
    <x v="6"/>
    <x v="3"/>
    <x v="6"/>
    <x v="2"/>
  </r>
  <r>
    <x v="1127"/>
    <x v="6"/>
    <x v="2"/>
    <n v="74.400000000000006"/>
    <x v="961"/>
    <x v="44"/>
    <d v="2025-02-15T00:00:00"/>
    <x v="2"/>
    <x v="3"/>
    <x v="2"/>
    <x v="0"/>
    <x v="8"/>
    <x v="3"/>
    <x v="6"/>
    <x v="2"/>
  </r>
  <r>
    <x v="1128"/>
    <x v="12"/>
    <x v="0"/>
    <n v="45.6"/>
    <x v="962"/>
    <x v="44"/>
    <d v="2025-02-18T00:00:00"/>
    <x v="2"/>
    <x v="4"/>
    <x v="0"/>
    <x v="0"/>
    <x v="8"/>
    <x v="5"/>
    <x v="6"/>
    <x v="2"/>
  </r>
  <r>
    <x v="1129"/>
    <x v="8"/>
    <x v="8"/>
    <n v="19.600000000000001"/>
    <x v="963"/>
    <x v="44"/>
    <d v="2025-02-27T00:00:00"/>
    <x v="2"/>
    <x v="0"/>
    <x v="0"/>
    <x v="0"/>
    <x v="8"/>
    <x v="10"/>
    <x v="6"/>
    <x v="2"/>
  </r>
  <r>
    <x v="1130"/>
    <x v="9"/>
    <x v="0"/>
    <n v="51.8"/>
    <x v="964"/>
    <x v="44"/>
    <d v="2025-02-15T00:00:00"/>
    <x v="2"/>
    <x v="1"/>
    <x v="0"/>
    <x v="0"/>
    <x v="8"/>
    <x v="3"/>
    <x v="6"/>
    <x v="2"/>
  </r>
  <r>
    <x v="1131"/>
    <x v="6"/>
    <x v="0"/>
    <n v="74.7"/>
    <x v="965"/>
    <x v="44"/>
    <d v="2025-02-15T00:00:00"/>
    <x v="1"/>
    <x v="0"/>
    <x v="1"/>
    <x v="0"/>
    <x v="8"/>
    <x v="3"/>
    <x v="6"/>
    <x v="1"/>
  </r>
  <r>
    <x v="1132"/>
    <x v="19"/>
    <x v="2"/>
    <n v="22.4"/>
    <x v="966"/>
    <x v="44"/>
    <d v="2025-02-15T00:00:00"/>
    <x v="2"/>
    <x v="1"/>
    <x v="2"/>
    <x v="0"/>
    <x v="9"/>
    <x v="3"/>
    <x v="6"/>
    <x v="2"/>
  </r>
  <r>
    <x v="1133"/>
    <x v="1"/>
    <x v="12"/>
    <n v="31.4"/>
    <x v="967"/>
    <x v="44"/>
    <d v="2025-02-15T00:00:00"/>
    <x v="2"/>
    <x v="1"/>
    <x v="0"/>
    <x v="0"/>
    <x v="9"/>
    <x v="3"/>
    <x v="6"/>
    <x v="2"/>
  </r>
  <r>
    <x v="1134"/>
    <x v="6"/>
    <x v="0"/>
    <n v="94"/>
    <x v="255"/>
    <x v="44"/>
    <d v="2025-02-14T00:00:00"/>
    <x v="2"/>
    <x v="1"/>
    <x v="2"/>
    <x v="0"/>
    <x v="10"/>
    <x v="7"/>
    <x v="6"/>
    <x v="2"/>
  </r>
  <r>
    <x v="1135"/>
    <x v="10"/>
    <x v="0"/>
    <n v="22.3"/>
    <x v="968"/>
    <x v="44"/>
    <d v="2025-02-15T00:00:00"/>
    <x v="1"/>
    <x v="4"/>
    <x v="0"/>
    <x v="0"/>
    <x v="20"/>
    <x v="3"/>
    <x v="6"/>
    <x v="1"/>
  </r>
  <r>
    <x v="1136"/>
    <x v="0"/>
    <x v="0"/>
    <n v="21.9"/>
    <x v="731"/>
    <x v="44"/>
    <d v="2025-02-17T00:00:00"/>
    <x v="2"/>
    <x v="2"/>
    <x v="0"/>
    <x v="0"/>
    <x v="21"/>
    <x v="2"/>
    <x v="6"/>
    <x v="2"/>
  </r>
  <r>
    <x v="1137"/>
    <x v="17"/>
    <x v="2"/>
    <n v="27"/>
    <x v="969"/>
    <x v="44"/>
    <d v="2025-02-16T00:00:00"/>
    <x v="2"/>
    <x v="4"/>
    <x v="2"/>
    <x v="0"/>
    <x v="2"/>
    <x v="1"/>
    <x v="6"/>
    <x v="2"/>
  </r>
  <r>
    <x v="1138"/>
    <x v="2"/>
    <x v="12"/>
    <n v="149.6"/>
    <x v="970"/>
    <x v="44"/>
    <d v="2025-02-14T00:00:00"/>
    <x v="2"/>
    <x v="4"/>
    <x v="0"/>
    <x v="0"/>
    <x v="22"/>
    <x v="7"/>
    <x v="6"/>
    <x v="2"/>
  </r>
  <r>
    <x v="1139"/>
    <x v="2"/>
    <x v="12"/>
    <n v="129.1"/>
    <x v="971"/>
    <x v="44"/>
    <d v="2025-02-24T00:00:00"/>
    <x v="1"/>
    <x v="0"/>
    <x v="1"/>
    <x v="0"/>
    <x v="3"/>
    <x v="14"/>
    <x v="6"/>
    <x v="1"/>
  </r>
  <r>
    <x v="1140"/>
    <x v="1"/>
    <x v="4"/>
    <n v="40.4"/>
    <x v="972"/>
    <x v="44"/>
    <d v="2025-02-15T00:00:00"/>
    <x v="1"/>
    <x v="1"/>
    <x v="1"/>
    <x v="0"/>
    <x v="3"/>
    <x v="3"/>
    <x v="6"/>
    <x v="1"/>
  </r>
  <r>
    <x v="1141"/>
    <x v="4"/>
    <x v="2"/>
    <n v="48.5"/>
    <x v="973"/>
    <x v="44"/>
    <d v="2025-02-16T00:00:00"/>
    <x v="2"/>
    <x v="0"/>
    <x v="4"/>
    <x v="0"/>
    <x v="3"/>
    <x v="1"/>
    <x v="6"/>
    <x v="2"/>
  </r>
  <r>
    <x v="1142"/>
    <x v="9"/>
    <x v="1"/>
    <n v="37.6"/>
    <x v="495"/>
    <x v="44"/>
    <d v="2025-02-16T00:00:00"/>
    <x v="2"/>
    <x v="1"/>
    <x v="2"/>
    <x v="0"/>
    <x v="3"/>
    <x v="1"/>
    <x v="6"/>
    <x v="2"/>
  </r>
  <r>
    <x v="1143"/>
    <x v="8"/>
    <x v="1"/>
    <n v="19.600000000000001"/>
    <x v="496"/>
    <x v="44"/>
    <d v="2025-02-15T00:00:00"/>
    <x v="1"/>
    <x v="3"/>
    <x v="4"/>
    <x v="0"/>
    <x v="43"/>
    <x v="3"/>
    <x v="6"/>
    <x v="1"/>
  </r>
  <r>
    <x v="1144"/>
    <x v="8"/>
    <x v="9"/>
    <n v="18.5"/>
    <x v="974"/>
    <x v="44"/>
    <d v="2025-02-15T00:00:00"/>
    <x v="2"/>
    <x v="2"/>
    <x v="1"/>
    <x v="0"/>
    <x v="6"/>
    <x v="3"/>
    <x v="6"/>
    <x v="2"/>
  </r>
  <r>
    <x v="1145"/>
    <x v="5"/>
    <x v="2"/>
    <n v="25.5"/>
    <x v="514"/>
    <x v="44"/>
    <d v="2025-02-16T00:00:00"/>
    <x v="2"/>
    <x v="4"/>
    <x v="1"/>
    <x v="0"/>
    <x v="6"/>
    <x v="1"/>
    <x v="6"/>
    <x v="2"/>
  </r>
  <r>
    <x v="1146"/>
    <x v="2"/>
    <x v="1"/>
    <n v="94.7"/>
    <x v="975"/>
    <x v="44"/>
    <d v="2025-02-15T00:00:00"/>
    <x v="2"/>
    <x v="2"/>
    <x v="0"/>
    <x v="0"/>
    <x v="36"/>
    <x v="3"/>
    <x v="6"/>
    <x v="2"/>
  </r>
  <r>
    <x v="1147"/>
    <x v="1"/>
    <x v="13"/>
    <n v="38.799999999999997"/>
    <x v="976"/>
    <x v="44"/>
    <d v="2025-02-19T00:00:00"/>
    <x v="2"/>
    <x v="2"/>
    <x v="2"/>
    <x v="0"/>
    <x v="8"/>
    <x v="0"/>
    <x v="6"/>
    <x v="2"/>
  </r>
  <r>
    <x v="1148"/>
    <x v="9"/>
    <x v="1"/>
    <n v="49.4"/>
    <x v="197"/>
    <x v="45"/>
    <d v="2025-02-23T00:00:00"/>
    <x v="1"/>
    <x v="4"/>
    <x v="1"/>
    <x v="0"/>
    <x v="8"/>
    <x v="9"/>
    <x v="6"/>
    <x v="1"/>
  </r>
  <r>
    <x v="1149"/>
    <x v="7"/>
    <x v="2"/>
    <n v="68"/>
    <x v="977"/>
    <x v="45"/>
    <d v="2025-02-18T00:00:00"/>
    <x v="1"/>
    <x v="0"/>
    <x v="2"/>
    <x v="0"/>
    <x v="8"/>
    <x v="2"/>
    <x v="6"/>
    <x v="1"/>
  </r>
  <r>
    <x v="1150"/>
    <x v="15"/>
    <x v="3"/>
    <n v="63.7"/>
    <x v="978"/>
    <x v="45"/>
    <d v="2025-02-16T00:00:00"/>
    <x v="2"/>
    <x v="2"/>
    <x v="2"/>
    <x v="0"/>
    <x v="8"/>
    <x v="3"/>
    <x v="6"/>
    <x v="2"/>
  </r>
  <r>
    <x v="1151"/>
    <x v="10"/>
    <x v="1"/>
    <n v="66.2"/>
    <x v="979"/>
    <x v="45"/>
    <d v="2025-02-16T00:00:00"/>
    <x v="2"/>
    <x v="4"/>
    <x v="2"/>
    <x v="0"/>
    <x v="17"/>
    <x v="3"/>
    <x v="6"/>
    <x v="2"/>
  </r>
  <r>
    <x v="1152"/>
    <x v="12"/>
    <x v="2"/>
    <n v="32.299999999999997"/>
    <x v="980"/>
    <x v="45"/>
    <d v="2025-02-16T00:00:00"/>
    <x v="3"/>
    <x v="2"/>
    <x v="1"/>
    <x v="0"/>
    <x v="9"/>
    <x v="3"/>
    <x v="6"/>
    <x v="3"/>
  </r>
  <r>
    <x v="1153"/>
    <x v="4"/>
    <x v="1"/>
    <n v="66.900000000000006"/>
    <x v="981"/>
    <x v="45"/>
    <d v="2025-02-18T00:00:00"/>
    <x v="1"/>
    <x v="1"/>
    <x v="0"/>
    <x v="0"/>
    <x v="11"/>
    <x v="2"/>
    <x v="6"/>
    <x v="1"/>
  </r>
  <r>
    <x v="1154"/>
    <x v="4"/>
    <x v="4"/>
    <n v="25.2"/>
    <x v="982"/>
    <x v="45"/>
    <d v="2025-02-19T00:00:00"/>
    <x v="2"/>
    <x v="0"/>
    <x v="1"/>
    <x v="0"/>
    <x v="11"/>
    <x v="5"/>
    <x v="6"/>
    <x v="2"/>
  </r>
  <r>
    <x v="1155"/>
    <x v="10"/>
    <x v="13"/>
    <n v="29.5"/>
    <x v="983"/>
    <x v="45"/>
    <d v="2025-02-16T00:00:00"/>
    <x v="1"/>
    <x v="2"/>
    <x v="0"/>
    <x v="0"/>
    <x v="11"/>
    <x v="3"/>
    <x v="6"/>
    <x v="1"/>
  </r>
  <r>
    <x v="1156"/>
    <x v="8"/>
    <x v="9"/>
    <n v="21.6"/>
    <x v="807"/>
    <x v="45"/>
    <d v="2025-02-17T00:00:00"/>
    <x v="2"/>
    <x v="0"/>
    <x v="2"/>
    <x v="0"/>
    <x v="32"/>
    <x v="1"/>
    <x v="6"/>
    <x v="2"/>
  </r>
  <r>
    <x v="1157"/>
    <x v="12"/>
    <x v="2"/>
    <n v="69"/>
    <x v="461"/>
    <x v="45"/>
    <d v="2025-02-16T00:00:00"/>
    <x v="2"/>
    <x v="0"/>
    <x v="0"/>
    <x v="0"/>
    <x v="18"/>
    <x v="3"/>
    <x v="6"/>
    <x v="2"/>
  </r>
  <r>
    <x v="1158"/>
    <x v="7"/>
    <x v="1"/>
    <n v="115"/>
    <x v="984"/>
    <x v="45"/>
    <d v="2025-02-19T00:00:00"/>
    <x v="1"/>
    <x v="0"/>
    <x v="2"/>
    <x v="0"/>
    <x v="18"/>
    <x v="5"/>
    <x v="6"/>
    <x v="1"/>
  </r>
  <r>
    <x v="1159"/>
    <x v="2"/>
    <x v="1"/>
    <n v="109.3"/>
    <x v="985"/>
    <x v="45"/>
    <d v="2025-02-17T00:00:00"/>
    <x v="0"/>
    <x v="3"/>
    <x v="1"/>
    <x v="0"/>
    <x v="19"/>
    <x v="1"/>
    <x v="6"/>
    <x v="0"/>
  </r>
  <r>
    <x v="1160"/>
    <x v="9"/>
    <x v="1"/>
    <n v="66.599999999999994"/>
    <x v="986"/>
    <x v="45"/>
    <d v="2025-02-18T00:00:00"/>
    <x v="0"/>
    <x v="4"/>
    <x v="1"/>
    <x v="0"/>
    <x v="19"/>
    <x v="2"/>
    <x v="6"/>
    <x v="0"/>
  </r>
  <r>
    <x v="1161"/>
    <x v="12"/>
    <x v="9"/>
    <n v="47.7"/>
    <x v="987"/>
    <x v="45"/>
    <d v="2025-02-16T00:00:00"/>
    <x v="1"/>
    <x v="3"/>
    <x v="2"/>
    <x v="0"/>
    <x v="21"/>
    <x v="3"/>
    <x v="6"/>
    <x v="1"/>
  </r>
  <r>
    <x v="1162"/>
    <x v="8"/>
    <x v="1"/>
    <n v="46"/>
    <x v="988"/>
    <x v="45"/>
    <d v="2025-02-16T00:00:00"/>
    <x v="2"/>
    <x v="4"/>
    <x v="4"/>
    <x v="0"/>
    <x v="22"/>
    <x v="3"/>
    <x v="6"/>
    <x v="2"/>
  </r>
  <r>
    <x v="1163"/>
    <x v="1"/>
    <x v="13"/>
    <n v="39.299999999999997"/>
    <x v="989"/>
    <x v="45"/>
    <d v="2025-02-17T00:00:00"/>
    <x v="1"/>
    <x v="3"/>
    <x v="2"/>
    <x v="0"/>
    <x v="3"/>
    <x v="1"/>
    <x v="6"/>
    <x v="1"/>
  </r>
  <r>
    <x v="1164"/>
    <x v="9"/>
    <x v="0"/>
    <n v="70.2"/>
    <x v="474"/>
    <x v="45"/>
    <d v="2025-02-16T00:00:00"/>
    <x v="2"/>
    <x v="0"/>
    <x v="4"/>
    <x v="0"/>
    <x v="3"/>
    <x v="3"/>
    <x v="6"/>
    <x v="2"/>
  </r>
  <r>
    <x v="1165"/>
    <x v="3"/>
    <x v="12"/>
    <n v="71.5"/>
    <x v="990"/>
    <x v="45"/>
    <d v="2025-02-15T00:00:00"/>
    <x v="2"/>
    <x v="1"/>
    <x v="2"/>
    <x v="0"/>
    <x v="3"/>
    <x v="7"/>
    <x v="6"/>
    <x v="2"/>
  </r>
  <r>
    <x v="1166"/>
    <x v="10"/>
    <x v="3"/>
    <n v="31"/>
    <x v="991"/>
    <x v="45"/>
    <d v="2025-02-22T00:00:00"/>
    <x v="2"/>
    <x v="3"/>
    <x v="2"/>
    <x v="0"/>
    <x v="3"/>
    <x v="6"/>
    <x v="6"/>
    <x v="2"/>
  </r>
  <r>
    <x v="1167"/>
    <x v="2"/>
    <x v="9"/>
    <n v="68.2"/>
    <x v="992"/>
    <x v="45"/>
    <d v="2025-02-20T00:00:00"/>
    <x v="2"/>
    <x v="0"/>
    <x v="2"/>
    <x v="0"/>
    <x v="3"/>
    <x v="0"/>
    <x v="6"/>
    <x v="2"/>
  </r>
  <r>
    <x v="1168"/>
    <x v="2"/>
    <x v="0"/>
    <n v="91.4"/>
    <x v="411"/>
    <x v="45"/>
    <d v="2025-02-19T00:00:00"/>
    <x v="2"/>
    <x v="1"/>
    <x v="2"/>
    <x v="0"/>
    <x v="6"/>
    <x v="5"/>
    <x v="6"/>
    <x v="2"/>
  </r>
  <r>
    <x v="1169"/>
    <x v="6"/>
    <x v="7"/>
    <n v="112.9"/>
    <x v="993"/>
    <x v="45"/>
    <d v="2025-02-16T00:00:00"/>
    <x v="2"/>
    <x v="0"/>
    <x v="0"/>
    <x v="0"/>
    <x v="6"/>
    <x v="3"/>
    <x v="6"/>
    <x v="2"/>
  </r>
  <r>
    <x v="1170"/>
    <x v="17"/>
    <x v="11"/>
    <n v="33.700000000000003"/>
    <x v="994"/>
    <x v="45"/>
    <d v="2025-02-16T00:00:00"/>
    <x v="2"/>
    <x v="1"/>
    <x v="2"/>
    <x v="0"/>
    <x v="8"/>
    <x v="3"/>
    <x v="6"/>
    <x v="2"/>
  </r>
  <r>
    <x v="1171"/>
    <x v="15"/>
    <x v="7"/>
    <n v="35.299999999999997"/>
    <x v="995"/>
    <x v="45"/>
    <d v="2025-02-17T00:00:00"/>
    <x v="1"/>
    <x v="2"/>
    <x v="0"/>
    <x v="0"/>
    <x v="8"/>
    <x v="1"/>
    <x v="6"/>
    <x v="1"/>
  </r>
  <r>
    <x v="1172"/>
    <x v="18"/>
    <x v="2"/>
    <n v="45.6"/>
    <x v="996"/>
    <x v="45"/>
    <d v="2025-02-19T00:00:00"/>
    <x v="1"/>
    <x v="3"/>
    <x v="0"/>
    <x v="0"/>
    <x v="8"/>
    <x v="5"/>
    <x v="6"/>
    <x v="1"/>
  </r>
  <r>
    <x v="1173"/>
    <x v="7"/>
    <x v="3"/>
    <n v="47.1"/>
    <x v="847"/>
    <x v="45"/>
    <d v="2025-02-16T00:00:00"/>
    <x v="2"/>
    <x v="4"/>
    <x v="2"/>
    <x v="0"/>
    <x v="9"/>
    <x v="3"/>
    <x v="6"/>
    <x v="2"/>
  </r>
  <r>
    <x v="1174"/>
    <x v="8"/>
    <x v="9"/>
    <n v="16.2"/>
    <x v="969"/>
    <x v="45"/>
    <d v="2025-02-17T00:00:00"/>
    <x v="2"/>
    <x v="3"/>
    <x v="2"/>
    <x v="0"/>
    <x v="19"/>
    <x v="1"/>
    <x v="6"/>
    <x v="2"/>
  </r>
  <r>
    <x v="1175"/>
    <x v="1"/>
    <x v="1"/>
    <n v="159.69999999999999"/>
    <x v="997"/>
    <x v="46"/>
    <d v="2025-02-17T00:00:00"/>
    <x v="1"/>
    <x v="4"/>
    <x v="0"/>
    <x v="0"/>
    <x v="13"/>
    <x v="3"/>
    <x v="7"/>
    <x v="1"/>
  </r>
  <r>
    <x v="1176"/>
    <x v="8"/>
    <x v="12"/>
    <n v="19"/>
    <x v="998"/>
    <x v="46"/>
    <d v="2025-02-23T00:00:00"/>
    <x v="2"/>
    <x v="2"/>
    <x v="2"/>
    <x v="0"/>
    <x v="21"/>
    <x v="6"/>
    <x v="7"/>
    <x v="2"/>
  </r>
  <r>
    <x v="1177"/>
    <x v="6"/>
    <x v="13"/>
    <n v="91.1"/>
    <x v="999"/>
    <x v="46"/>
    <d v="2025-02-25T00:00:00"/>
    <x v="2"/>
    <x v="4"/>
    <x v="0"/>
    <x v="0"/>
    <x v="21"/>
    <x v="8"/>
    <x v="7"/>
    <x v="2"/>
  </r>
  <r>
    <x v="1178"/>
    <x v="2"/>
    <x v="9"/>
    <n v="94.1"/>
    <x v="1000"/>
    <x v="46"/>
    <d v="2025-02-19T00:00:00"/>
    <x v="0"/>
    <x v="1"/>
    <x v="1"/>
    <x v="0"/>
    <x v="21"/>
    <x v="2"/>
    <x v="7"/>
    <x v="0"/>
  </r>
  <r>
    <x v="1179"/>
    <x v="9"/>
    <x v="11"/>
    <n v="21.1"/>
    <x v="1001"/>
    <x v="46"/>
    <d v="2025-02-17T00:00:00"/>
    <x v="2"/>
    <x v="4"/>
    <x v="2"/>
    <x v="0"/>
    <x v="51"/>
    <x v="3"/>
    <x v="7"/>
    <x v="2"/>
  </r>
  <r>
    <x v="1180"/>
    <x v="8"/>
    <x v="3"/>
    <n v="15.3"/>
    <x v="1002"/>
    <x v="46"/>
    <d v="2025-02-24T00:00:00"/>
    <x v="2"/>
    <x v="2"/>
    <x v="0"/>
    <x v="0"/>
    <x v="1"/>
    <x v="9"/>
    <x v="7"/>
    <x v="2"/>
  </r>
  <r>
    <x v="1181"/>
    <x v="15"/>
    <x v="12"/>
    <n v="21.3"/>
    <x v="464"/>
    <x v="46"/>
    <d v="2025-02-19T00:00:00"/>
    <x v="1"/>
    <x v="1"/>
    <x v="0"/>
    <x v="0"/>
    <x v="3"/>
    <x v="2"/>
    <x v="7"/>
    <x v="1"/>
  </r>
  <r>
    <x v="1182"/>
    <x v="0"/>
    <x v="1"/>
    <n v="23.2"/>
    <x v="434"/>
    <x v="46"/>
    <d v="2025-02-16T00:00:00"/>
    <x v="0"/>
    <x v="3"/>
    <x v="1"/>
    <x v="0"/>
    <x v="3"/>
    <x v="7"/>
    <x v="7"/>
    <x v="0"/>
  </r>
  <r>
    <x v="1183"/>
    <x v="4"/>
    <x v="2"/>
    <n v="25.7"/>
    <x v="1003"/>
    <x v="46"/>
    <d v="2025-02-17T00:00:00"/>
    <x v="1"/>
    <x v="4"/>
    <x v="0"/>
    <x v="0"/>
    <x v="3"/>
    <x v="3"/>
    <x v="7"/>
    <x v="1"/>
  </r>
  <r>
    <x v="1184"/>
    <x v="0"/>
    <x v="11"/>
    <n v="31.6"/>
    <x v="1004"/>
    <x v="46"/>
    <d v="2025-02-18T00:00:00"/>
    <x v="2"/>
    <x v="0"/>
    <x v="0"/>
    <x v="0"/>
    <x v="3"/>
    <x v="1"/>
    <x v="7"/>
    <x v="2"/>
  </r>
  <r>
    <x v="1185"/>
    <x v="6"/>
    <x v="0"/>
    <n v="64.2"/>
    <x v="1005"/>
    <x v="46"/>
    <d v="2025-02-21T00:00:00"/>
    <x v="1"/>
    <x v="0"/>
    <x v="0"/>
    <x v="0"/>
    <x v="3"/>
    <x v="0"/>
    <x v="7"/>
    <x v="1"/>
  </r>
  <r>
    <x v="1186"/>
    <x v="8"/>
    <x v="1"/>
    <n v="55.8"/>
    <x v="1006"/>
    <x v="46"/>
    <d v="2025-02-18T00:00:00"/>
    <x v="0"/>
    <x v="0"/>
    <x v="0"/>
    <x v="0"/>
    <x v="3"/>
    <x v="1"/>
    <x v="7"/>
    <x v="0"/>
  </r>
  <r>
    <x v="1187"/>
    <x v="8"/>
    <x v="1"/>
    <n v="28.1"/>
    <x v="1007"/>
    <x v="46"/>
    <d v="2025-02-17T00:00:00"/>
    <x v="2"/>
    <x v="4"/>
    <x v="1"/>
    <x v="0"/>
    <x v="3"/>
    <x v="3"/>
    <x v="7"/>
    <x v="2"/>
  </r>
  <r>
    <x v="1188"/>
    <x v="0"/>
    <x v="1"/>
    <n v="11.6"/>
    <x v="772"/>
    <x v="46"/>
    <d v="2025-02-18T00:00:00"/>
    <x v="2"/>
    <x v="1"/>
    <x v="0"/>
    <x v="0"/>
    <x v="24"/>
    <x v="1"/>
    <x v="7"/>
    <x v="2"/>
  </r>
  <r>
    <x v="1189"/>
    <x v="5"/>
    <x v="2"/>
    <n v="50.4"/>
    <x v="277"/>
    <x v="46"/>
    <d v="2025-02-17T00:00:00"/>
    <x v="1"/>
    <x v="4"/>
    <x v="2"/>
    <x v="0"/>
    <x v="25"/>
    <x v="3"/>
    <x v="7"/>
    <x v="1"/>
  </r>
  <r>
    <x v="1190"/>
    <x v="6"/>
    <x v="13"/>
    <n v="48.3"/>
    <x v="1008"/>
    <x v="46"/>
    <d v="2025-02-20T00:00:00"/>
    <x v="2"/>
    <x v="0"/>
    <x v="0"/>
    <x v="0"/>
    <x v="25"/>
    <x v="5"/>
    <x v="7"/>
    <x v="2"/>
  </r>
  <r>
    <x v="1191"/>
    <x v="17"/>
    <x v="3"/>
    <n v="32.200000000000003"/>
    <x v="1009"/>
    <x v="46"/>
    <d v="2025-02-18T00:00:00"/>
    <x v="2"/>
    <x v="2"/>
    <x v="0"/>
    <x v="0"/>
    <x v="25"/>
    <x v="1"/>
    <x v="7"/>
    <x v="2"/>
  </r>
  <r>
    <x v="1192"/>
    <x v="7"/>
    <x v="31"/>
    <n v="48.5"/>
    <x v="1010"/>
    <x v="46"/>
    <d v="2025-02-17T00:00:00"/>
    <x v="1"/>
    <x v="0"/>
    <x v="0"/>
    <x v="0"/>
    <x v="5"/>
    <x v="3"/>
    <x v="7"/>
    <x v="1"/>
  </r>
  <r>
    <x v="1193"/>
    <x v="2"/>
    <x v="9"/>
    <n v="62"/>
    <x v="892"/>
    <x v="46"/>
    <d v="2025-02-19T00:00:00"/>
    <x v="2"/>
    <x v="1"/>
    <x v="0"/>
    <x v="0"/>
    <x v="6"/>
    <x v="2"/>
    <x v="7"/>
    <x v="2"/>
  </r>
  <r>
    <x v="1194"/>
    <x v="8"/>
    <x v="2"/>
    <n v="32.1"/>
    <x v="219"/>
    <x v="47"/>
    <d v="2025-02-19T00:00:00"/>
    <x v="1"/>
    <x v="0"/>
    <x v="0"/>
    <x v="0"/>
    <x v="6"/>
    <x v="1"/>
    <x v="7"/>
    <x v="1"/>
  </r>
  <r>
    <x v="1195"/>
    <x v="12"/>
    <x v="2"/>
    <n v="106.1"/>
    <x v="1011"/>
    <x v="47"/>
    <d v="2025-02-19T00:00:00"/>
    <x v="1"/>
    <x v="0"/>
    <x v="1"/>
    <x v="0"/>
    <x v="7"/>
    <x v="1"/>
    <x v="7"/>
    <x v="1"/>
  </r>
  <r>
    <x v="1196"/>
    <x v="10"/>
    <x v="2"/>
    <n v="23.5"/>
    <x v="1012"/>
    <x v="47"/>
    <d v="2025-02-20T00:00:00"/>
    <x v="1"/>
    <x v="0"/>
    <x v="4"/>
    <x v="0"/>
    <x v="7"/>
    <x v="2"/>
    <x v="7"/>
    <x v="1"/>
  </r>
  <r>
    <x v="1197"/>
    <x v="1"/>
    <x v="1"/>
    <n v="35.6"/>
    <x v="1013"/>
    <x v="47"/>
    <d v="2025-02-22T00:00:00"/>
    <x v="1"/>
    <x v="4"/>
    <x v="0"/>
    <x v="0"/>
    <x v="8"/>
    <x v="0"/>
    <x v="7"/>
    <x v="1"/>
  </r>
  <r>
    <x v="1198"/>
    <x v="1"/>
    <x v="1"/>
    <n v="63.5"/>
    <x v="520"/>
    <x v="47"/>
    <d v="2025-02-17T00:00:00"/>
    <x v="2"/>
    <x v="1"/>
    <x v="2"/>
    <x v="0"/>
    <x v="8"/>
    <x v="7"/>
    <x v="7"/>
    <x v="2"/>
  </r>
  <r>
    <x v="1199"/>
    <x v="6"/>
    <x v="3"/>
    <n v="82.9"/>
    <x v="1014"/>
    <x v="47"/>
    <d v="2025-02-22T00:00:00"/>
    <x v="2"/>
    <x v="4"/>
    <x v="0"/>
    <x v="0"/>
    <x v="9"/>
    <x v="0"/>
    <x v="7"/>
    <x v="2"/>
  </r>
  <r>
    <x v="1200"/>
    <x v="6"/>
    <x v="1"/>
    <n v="83.6"/>
    <x v="762"/>
    <x v="47"/>
    <d v="2025-02-22T00:00:00"/>
    <x v="2"/>
    <x v="0"/>
    <x v="0"/>
    <x v="0"/>
    <x v="11"/>
    <x v="0"/>
    <x v="7"/>
    <x v="2"/>
  </r>
  <r>
    <x v="1201"/>
    <x v="4"/>
    <x v="1"/>
    <n v="29.4"/>
    <x v="572"/>
    <x v="47"/>
    <d v="2025-02-17T00:00:00"/>
    <x v="2"/>
    <x v="0"/>
    <x v="1"/>
    <x v="0"/>
    <x v="30"/>
    <x v="7"/>
    <x v="7"/>
    <x v="2"/>
  </r>
  <r>
    <x v="1202"/>
    <x v="2"/>
    <x v="2"/>
    <n v="107.1"/>
    <x v="1015"/>
    <x v="47"/>
    <d v="2025-02-21T00:00:00"/>
    <x v="2"/>
    <x v="2"/>
    <x v="0"/>
    <x v="0"/>
    <x v="20"/>
    <x v="5"/>
    <x v="7"/>
    <x v="2"/>
  </r>
  <r>
    <x v="1203"/>
    <x v="2"/>
    <x v="0"/>
    <n v="62.7"/>
    <x v="1016"/>
    <x v="47"/>
    <d v="2025-02-21T00:00:00"/>
    <x v="1"/>
    <x v="1"/>
    <x v="0"/>
    <x v="0"/>
    <x v="21"/>
    <x v="5"/>
    <x v="7"/>
    <x v="1"/>
  </r>
  <r>
    <x v="1204"/>
    <x v="11"/>
    <x v="0"/>
    <n v="41.6"/>
    <x v="480"/>
    <x v="47"/>
    <d v="2025-02-18T00:00:00"/>
    <x v="1"/>
    <x v="0"/>
    <x v="1"/>
    <x v="0"/>
    <x v="1"/>
    <x v="3"/>
    <x v="7"/>
    <x v="1"/>
  </r>
  <r>
    <x v="1205"/>
    <x v="6"/>
    <x v="0"/>
    <n v="44.2"/>
    <x v="573"/>
    <x v="47"/>
    <d v="2025-02-18T00:00:00"/>
    <x v="3"/>
    <x v="0"/>
    <x v="1"/>
    <x v="0"/>
    <x v="1"/>
    <x v="3"/>
    <x v="7"/>
    <x v="3"/>
  </r>
  <r>
    <x v="1206"/>
    <x v="4"/>
    <x v="13"/>
    <n v="40.4"/>
    <x v="1017"/>
    <x v="47"/>
    <d v="2025-03-02T00:00:00"/>
    <x v="2"/>
    <x v="2"/>
    <x v="0"/>
    <x v="0"/>
    <x v="22"/>
    <x v="10"/>
    <x v="7"/>
    <x v="2"/>
  </r>
  <r>
    <x v="1207"/>
    <x v="15"/>
    <x v="13"/>
    <n v="59.6"/>
    <x v="1018"/>
    <x v="47"/>
    <d v="2025-02-18T00:00:00"/>
    <x v="2"/>
    <x v="4"/>
    <x v="0"/>
    <x v="0"/>
    <x v="34"/>
    <x v="3"/>
    <x v="7"/>
    <x v="2"/>
  </r>
  <r>
    <x v="1208"/>
    <x v="17"/>
    <x v="4"/>
    <n v="63.8"/>
    <x v="1019"/>
    <x v="47"/>
    <d v="2025-02-18T00:00:00"/>
    <x v="1"/>
    <x v="1"/>
    <x v="0"/>
    <x v="0"/>
    <x v="3"/>
    <x v="3"/>
    <x v="7"/>
    <x v="1"/>
  </r>
  <r>
    <x v="1209"/>
    <x v="9"/>
    <x v="13"/>
    <n v="30.8"/>
    <x v="827"/>
    <x v="47"/>
    <d v="2025-02-19T00:00:00"/>
    <x v="1"/>
    <x v="4"/>
    <x v="0"/>
    <x v="0"/>
    <x v="3"/>
    <x v="1"/>
    <x v="7"/>
    <x v="1"/>
  </r>
  <r>
    <x v="1210"/>
    <x v="1"/>
    <x v="1"/>
    <n v="41.5"/>
    <x v="470"/>
    <x v="47"/>
    <d v="2025-02-20T00:00:00"/>
    <x v="3"/>
    <x v="0"/>
    <x v="0"/>
    <x v="0"/>
    <x v="3"/>
    <x v="2"/>
    <x v="7"/>
    <x v="3"/>
  </r>
  <r>
    <x v="1211"/>
    <x v="10"/>
    <x v="12"/>
    <n v="44.7"/>
    <x v="1020"/>
    <x v="47"/>
    <d v="2025-02-19T00:00:00"/>
    <x v="2"/>
    <x v="2"/>
    <x v="1"/>
    <x v="0"/>
    <x v="3"/>
    <x v="1"/>
    <x v="7"/>
    <x v="2"/>
  </r>
  <r>
    <x v="1212"/>
    <x v="12"/>
    <x v="1"/>
    <n v="64.099999999999994"/>
    <x v="618"/>
    <x v="47"/>
    <d v="2025-02-21T00:00:00"/>
    <x v="2"/>
    <x v="1"/>
    <x v="4"/>
    <x v="0"/>
    <x v="3"/>
    <x v="5"/>
    <x v="7"/>
    <x v="2"/>
  </r>
  <r>
    <x v="1213"/>
    <x v="8"/>
    <x v="0"/>
    <n v="15.9"/>
    <x v="1021"/>
    <x v="47"/>
    <d v="2025-02-20T00:00:00"/>
    <x v="0"/>
    <x v="1"/>
    <x v="0"/>
    <x v="0"/>
    <x v="3"/>
    <x v="2"/>
    <x v="7"/>
    <x v="0"/>
  </r>
  <r>
    <x v="1214"/>
    <x v="6"/>
    <x v="1"/>
    <n v="78.7"/>
    <x v="1022"/>
    <x v="47"/>
    <d v="2025-02-17T00:00:00"/>
    <x v="2"/>
    <x v="2"/>
    <x v="1"/>
    <x v="0"/>
    <x v="3"/>
    <x v="7"/>
    <x v="7"/>
    <x v="2"/>
  </r>
  <r>
    <x v="1215"/>
    <x v="5"/>
    <x v="4"/>
    <n v="29.6"/>
    <x v="1023"/>
    <x v="47"/>
    <d v="2025-02-21T00:00:00"/>
    <x v="1"/>
    <x v="2"/>
    <x v="4"/>
    <x v="0"/>
    <x v="3"/>
    <x v="5"/>
    <x v="7"/>
    <x v="1"/>
  </r>
  <r>
    <x v="1216"/>
    <x v="8"/>
    <x v="12"/>
    <n v="21.5"/>
    <x v="1024"/>
    <x v="47"/>
    <d v="2025-02-20T00:00:00"/>
    <x v="1"/>
    <x v="1"/>
    <x v="0"/>
    <x v="0"/>
    <x v="3"/>
    <x v="2"/>
    <x v="7"/>
    <x v="1"/>
  </r>
  <r>
    <x v="1217"/>
    <x v="9"/>
    <x v="2"/>
    <n v="74.900000000000006"/>
    <x v="890"/>
    <x v="47"/>
    <d v="2025-02-26T00:00:00"/>
    <x v="1"/>
    <x v="3"/>
    <x v="1"/>
    <x v="0"/>
    <x v="3"/>
    <x v="8"/>
    <x v="7"/>
    <x v="1"/>
  </r>
  <r>
    <x v="1218"/>
    <x v="10"/>
    <x v="13"/>
    <n v="45"/>
    <x v="843"/>
    <x v="47"/>
    <d v="2025-02-22T00:00:00"/>
    <x v="2"/>
    <x v="2"/>
    <x v="0"/>
    <x v="0"/>
    <x v="3"/>
    <x v="0"/>
    <x v="7"/>
    <x v="2"/>
  </r>
  <r>
    <x v="1219"/>
    <x v="7"/>
    <x v="33"/>
    <n v="37.9"/>
    <x v="1025"/>
    <x v="47"/>
    <d v="2025-02-18T00:00:00"/>
    <x v="1"/>
    <x v="0"/>
    <x v="0"/>
    <x v="0"/>
    <x v="3"/>
    <x v="3"/>
    <x v="7"/>
    <x v="1"/>
  </r>
  <r>
    <x v="1220"/>
    <x v="6"/>
    <x v="2"/>
    <n v="56.6"/>
    <x v="1026"/>
    <x v="47"/>
    <d v="2025-02-18T00:00:00"/>
    <x v="1"/>
    <x v="3"/>
    <x v="0"/>
    <x v="0"/>
    <x v="3"/>
    <x v="3"/>
    <x v="7"/>
    <x v="1"/>
  </r>
  <r>
    <x v="1221"/>
    <x v="3"/>
    <x v="15"/>
    <n v="84.5"/>
    <x v="1027"/>
    <x v="47"/>
    <d v="2025-02-20T00:00:00"/>
    <x v="2"/>
    <x v="1"/>
    <x v="4"/>
    <x v="0"/>
    <x v="3"/>
    <x v="2"/>
    <x v="7"/>
    <x v="2"/>
  </r>
  <r>
    <x v="1222"/>
    <x v="2"/>
    <x v="9"/>
    <n v="105.4"/>
    <x v="1028"/>
    <x v="47"/>
    <d v="2025-02-19T00:00:00"/>
    <x v="2"/>
    <x v="1"/>
    <x v="1"/>
    <x v="0"/>
    <x v="3"/>
    <x v="1"/>
    <x v="7"/>
    <x v="2"/>
  </r>
  <r>
    <x v="1223"/>
    <x v="18"/>
    <x v="3"/>
    <n v="39.4"/>
    <x v="1029"/>
    <x v="48"/>
    <d v="2025-02-18T00:00:00"/>
    <x v="1"/>
    <x v="1"/>
    <x v="0"/>
    <x v="0"/>
    <x v="37"/>
    <x v="7"/>
    <x v="7"/>
    <x v="1"/>
  </r>
  <r>
    <x v="1224"/>
    <x v="19"/>
    <x v="2"/>
    <n v="38"/>
    <x v="717"/>
    <x v="48"/>
    <d v="2025-02-21T00:00:00"/>
    <x v="1"/>
    <x v="4"/>
    <x v="1"/>
    <x v="0"/>
    <x v="6"/>
    <x v="2"/>
    <x v="7"/>
    <x v="1"/>
  </r>
  <r>
    <x v="1225"/>
    <x v="17"/>
    <x v="12"/>
    <n v="42.5"/>
    <x v="393"/>
    <x v="48"/>
    <d v="2025-02-20T00:00:00"/>
    <x v="0"/>
    <x v="0"/>
    <x v="0"/>
    <x v="0"/>
    <x v="6"/>
    <x v="1"/>
    <x v="7"/>
    <x v="0"/>
  </r>
  <r>
    <x v="1226"/>
    <x v="15"/>
    <x v="0"/>
    <n v="62.3"/>
    <x v="1030"/>
    <x v="48"/>
    <d v="2025-02-27T00:00:00"/>
    <x v="1"/>
    <x v="0"/>
    <x v="2"/>
    <x v="0"/>
    <x v="6"/>
    <x v="8"/>
    <x v="7"/>
    <x v="1"/>
  </r>
  <r>
    <x v="1227"/>
    <x v="6"/>
    <x v="9"/>
    <n v="49.1"/>
    <x v="1031"/>
    <x v="48"/>
    <d v="2025-02-20T00:00:00"/>
    <x v="2"/>
    <x v="1"/>
    <x v="2"/>
    <x v="0"/>
    <x v="7"/>
    <x v="1"/>
    <x v="7"/>
    <x v="2"/>
  </r>
  <r>
    <x v="1228"/>
    <x v="3"/>
    <x v="1"/>
    <n v="30.5"/>
    <x v="170"/>
    <x v="48"/>
    <d v="2025-02-21T00:00:00"/>
    <x v="1"/>
    <x v="0"/>
    <x v="2"/>
    <x v="0"/>
    <x v="8"/>
    <x v="2"/>
    <x v="7"/>
    <x v="1"/>
  </r>
  <r>
    <x v="1229"/>
    <x v="2"/>
    <x v="1"/>
    <n v="154.80000000000001"/>
    <x v="141"/>
    <x v="48"/>
    <d v="2025-02-21T00:00:00"/>
    <x v="2"/>
    <x v="1"/>
    <x v="4"/>
    <x v="0"/>
    <x v="8"/>
    <x v="2"/>
    <x v="7"/>
    <x v="2"/>
  </r>
  <r>
    <x v="1230"/>
    <x v="6"/>
    <x v="0"/>
    <n v="45"/>
    <x v="583"/>
    <x v="48"/>
    <d v="2025-02-22T00:00:00"/>
    <x v="1"/>
    <x v="3"/>
    <x v="1"/>
    <x v="0"/>
    <x v="8"/>
    <x v="5"/>
    <x v="7"/>
    <x v="1"/>
  </r>
  <r>
    <x v="1231"/>
    <x v="0"/>
    <x v="3"/>
    <n v="15.3"/>
    <x v="1002"/>
    <x v="48"/>
    <d v="2025-02-19T00:00:00"/>
    <x v="1"/>
    <x v="0"/>
    <x v="2"/>
    <x v="0"/>
    <x v="8"/>
    <x v="3"/>
    <x v="7"/>
    <x v="1"/>
  </r>
  <r>
    <x v="1232"/>
    <x v="2"/>
    <x v="5"/>
    <n v="88.6"/>
    <x v="1032"/>
    <x v="48"/>
    <d v="2025-02-21T00:00:00"/>
    <x v="2"/>
    <x v="0"/>
    <x v="4"/>
    <x v="0"/>
    <x v="17"/>
    <x v="2"/>
    <x v="7"/>
    <x v="2"/>
  </r>
  <r>
    <x v="1233"/>
    <x v="9"/>
    <x v="1"/>
    <n v="49.7"/>
    <x v="1033"/>
    <x v="48"/>
    <d v="2025-02-20T00:00:00"/>
    <x v="3"/>
    <x v="4"/>
    <x v="0"/>
    <x v="0"/>
    <x v="10"/>
    <x v="1"/>
    <x v="7"/>
    <x v="3"/>
  </r>
  <r>
    <x v="1234"/>
    <x v="10"/>
    <x v="0"/>
    <n v="29"/>
    <x v="1034"/>
    <x v="48"/>
    <d v="2025-02-19T00:00:00"/>
    <x v="1"/>
    <x v="0"/>
    <x v="0"/>
    <x v="0"/>
    <x v="11"/>
    <x v="3"/>
    <x v="7"/>
    <x v="1"/>
  </r>
  <r>
    <x v="1235"/>
    <x v="1"/>
    <x v="0"/>
    <n v="60.7"/>
    <x v="1035"/>
    <x v="48"/>
    <d v="2025-02-19T00:00:00"/>
    <x v="3"/>
    <x v="0"/>
    <x v="1"/>
    <x v="0"/>
    <x v="11"/>
    <x v="3"/>
    <x v="7"/>
    <x v="3"/>
  </r>
  <r>
    <x v="1236"/>
    <x v="17"/>
    <x v="12"/>
    <n v="87.4"/>
    <x v="1036"/>
    <x v="48"/>
    <d v="2025-02-20T00:00:00"/>
    <x v="0"/>
    <x v="0"/>
    <x v="0"/>
    <x v="0"/>
    <x v="11"/>
    <x v="1"/>
    <x v="7"/>
    <x v="0"/>
  </r>
  <r>
    <x v="1237"/>
    <x v="4"/>
    <x v="3"/>
    <n v="44.5"/>
    <x v="1037"/>
    <x v="48"/>
    <d v="2025-02-22T00:00:00"/>
    <x v="2"/>
    <x v="2"/>
    <x v="2"/>
    <x v="0"/>
    <x v="19"/>
    <x v="5"/>
    <x v="7"/>
    <x v="2"/>
  </r>
  <r>
    <x v="1238"/>
    <x v="2"/>
    <x v="0"/>
    <n v="141"/>
    <x v="1038"/>
    <x v="48"/>
    <d v="2025-02-19T00:00:00"/>
    <x v="1"/>
    <x v="4"/>
    <x v="2"/>
    <x v="0"/>
    <x v="19"/>
    <x v="3"/>
    <x v="7"/>
    <x v="1"/>
  </r>
  <r>
    <x v="1239"/>
    <x v="0"/>
    <x v="2"/>
    <n v="16.7"/>
    <x v="1039"/>
    <x v="48"/>
    <d v="2025-02-26T00:00:00"/>
    <x v="2"/>
    <x v="0"/>
    <x v="0"/>
    <x v="0"/>
    <x v="20"/>
    <x v="9"/>
    <x v="7"/>
    <x v="2"/>
  </r>
  <r>
    <x v="1240"/>
    <x v="1"/>
    <x v="1"/>
    <n v="77.5"/>
    <x v="1040"/>
    <x v="48"/>
    <d v="2025-02-19T00:00:00"/>
    <x v="0"/>
    <x v="2"/>
    <x v="2"/>
    <x v="0"/>
    <x v="13"/>
    <x v="3"/>
    <x v="7"/>
    <x v="0"/>
  </r>
  <r>
    <x v="1241"/>
    <x v="2"/>
    <x v="1"/>
    <n v="163"/>
    <x v="1041"/>
    <x v="48"/>
    <d v="2025-02-24T00:00:00"/>
    <x v="2"/>
    <x v="4"/>
    <x v="0"/>
    <x v="0"/>
    <x v="21"/>
    <x v="4"/>
    <x v="7"/>
    <x v="2"/>
  </r>
  <r>
    <x v="1242"/>
    <x v="4"/>
    <x v="11"/>
    <n v="21.4"/>
    <x v="1042"/>
    <x v="48"/>
    <d v="2025-02-21T00:00:00"/>
    <x v="2"/>
    <x v="0"/>
    <x v="0"/>
    <x v="0"/>
    <x v="51"/>
    <x v="2"/>
    <x v="7"/>
    <x v="2"/>
  </r>
  <r>
    <x v="1243"/>
    <x v="10"/>
    <x v="5"/>
    <n v="31"/>
    <x v="992"/>
    <x v="48"/>
    <d v="2025-02-20T00:00:00"/>
    <x v="2"/>
    <x v="3"/>
    <x v="2"/>
    <x v="0"/>
    <x v="1"/>
    <x v="1"/>
    <x v="7"/>
    <x v="2"/>
  </r>
  <r>
    <x v="1244"/>
    <x v="7"/>
    <x v="1"/>
    <n v="34.299999999999997"/>
    <x v="1043"/>
    <x v="48"/>
    <d v="2025-02-20T00:00:00"/>
    <x v="2"/>
    <x v="0"/>
    <x v="3"/>
    <x v="0"/>
    <x v="1"/>
    <x v="1"/>
    <x v="7"/>
    <x v="2"/>
  </r>
  <r>
    <x v="1245"/>
    <x v="17"/>
    <x v="9"/>
    <n v="48.2"/>
    <x v="1044"/>
    <x v="48"/>
    <d v="2025-02-19T00:00:00"/>
    <x v="1"/>
    <x v="1"/>
    <x v="1"/>
    <x v="0"/>
    <x v="2"/>
    <x v="3"/>
    <x v="7"/>
    <x v="1"/>
  </r>
  <r>
    <x v="1246"/>
    <x v="10"/>
    <x v="0"/>
    <n v="51.4"/>
    <x v="1045"/>
    <x v="48"/>
    <d v="2025-02-19T00:00:00"/>
    <x v="1"/>
    <x v="0"/>
    <x v="0"/>
    <x v="0"/>
    <x v="3"/>
    <x v="3"/>
    <x v="7"/>
    <x v="1"/>
  </r>
  <r>
    <x v="1247"/>
    <x v="2"/>
    <x v="9"/>
    <n v="117.2"/>
    <x v="1046"/>
    <x v="48"/>
    <d v="2025-02-21T00:00:00"/>
    <x v="2"/>
    <x v="4"/>
    <x v="4"/>
    <x v="0"/>
    <x v="3"/>
    <x v="2"/>
    <x v="7"/>
    <x v="2"/>
  </r>
  <r>
    <x v="1248"/>
    <x v="8"/>
    <x v="0"/>
    <n v="38.1"/>
    <x v="220"/>
    <x v="48"/>
    <d v="2025-02-18T00:00:00"/>
    <x v="1"/>
    <x v="4"/>
    <x v="1"/>
    <x v="0"/>
    <x v="3"/>
    <x v="7"/>
    <x v="7"/>
    <x v="1"/>
  </r>
  <r>
    <x v="1249"/>
    <x v="0"/>
    <x v="1"/>
    <n v="44.1"/>
    <x v="1047"/>
    <x v="48"/>
    <d v="2025-02-20T00:00:00"/>
    <x v="2"/>
    <x v="2"/>
    <x v="0"/>
    <x v="0"/>
    <x v="3"/>
    <x v="1"/>
    <x v="7"/>
    <x v="2"/>
  </r>
  <r>
    <x v="1250"/>
    <x v="15"/>
    <x v="12"/>
    <n v="80.5"/>
    <x v="310"/>
    <x v="48"/>
    <d v="2025-02-23T00:00:00"/>
    <x v="1"/>
    <x v="0"/>
    <x v="0"/>
    <x v="0"/>
    <x v="3"/>
    <x v="0"/>
    <x v="7"/>
    <x v="1"/>
  </r>
  <r>
    <x v="1251"/>
    <x v="18"/>
    <x v="12"/>
    <n v="33.6"/>
    <x v="1048"/>
    <x v="48"/>
    <d v="2025-02-23T00:00:00"/>
    <x v="0"/>
    <x v="0"/>
    <x v="2"/>
    <x v="0"/>
    <x v="3"/>
    <x v="0"/>
    <x v="7"/>
    <x v="0"/>
  </r>
  <r>
    <x v="1252"/>
    <x v="9"/>
    <x v="11"/>
    <n v="41.8"/>
    <x v="82"/>
    <x v="48"/>
    <d v="2025-02-19T00:00:00"/>
    <x v="2"/>
    <x v="0"/>
    <x v="1"/>
    <x v="0"/>
    <x v="3"/>
    <x v="3"/>
    <x v="7"/>
    <x v="2"/>
  </r>
  <r>
    <x v="1253"/>
    <x v="1"/>
    <x v="1"/>
    <n v="106.2"/>
    <x v="230"/>
    <x v="48"/>
    <d v="2025-02-18T00:00:00"/>
    <x v="2"/>
    <x v="4"/>
    <x v="2"/>
    <x v="0"/>
    <x v="3"/>
    <x v="7"/>
    <x v="7"/>
    <x v="2"/>
  </r>
  <r>
    <x v="1254"/>
    <x v="1"/>
    <x v="1"/>
    <n v="52.6"/>
    <x v="1049"/>
    <x v="48"/>
    <d v="2025-02-19T00:00:00"/>
    <x v="2"/>
    <x v="0"/>
    <x v="2"/>
    <x v="0"/>
    <x v="5"/>
    <x v="3"/>
    <x v="7"/>
    <x v="2"/>
  </r>
  <r>
    <x v="1255"/>
    <x v="11"/>
    <x v="3"/>
    <n v="68.5"/>
    <x v="1050"/>
    <x v="48"/>
    <d v="2025-02-19T00:00:00"/>
    <x v="2"/>
    <x v="1"/>
    <x v="0"/>
    <x v="0"/>
    <x v="5"/>
    <x v="3"/>
    <x v="7"/>
    <x v="2"/>
  </r>
  <r>
    <x v="1256"/>
    <x v="1"/>
    <x v="1"/>
    <n v="55.6"/>
    <x v="622"/>
    <x v="48"/>
    <d v="2025-02-20T00:00:00"/>
    <x v="1"/>
    <x v="1"/>
    <x v="2"/>
    <x v="0"/>
    <x v="6"/>
    <x v="1"/>
    <x v="7"/>
    <x v="1"/>
  </r>
  <r>
    <x v="1257"/>
    <x v="2"/>
    <x v="2"/>
    <n v="134.9"/>
    <x v="1051"/>
    <x v="48"/>
    <d v="2025-02-19T00:00:00"/>
    <x v="1"/>
    <x v="1"/>
    <x v="1"/>
    <x v="0"/>
    <x v="6"/>
    <x v="3"/>
    <x v="7"/>
    <x v="1"/>
  </r>
  <r>
    <x v="1258"/>
    <x v="10"/>
    <x v="9"/>
    <n v="42.6"/>
    <x v="226"/>
    <x v="48"/>
    <d v="2025-02-19T00:00:00"/>
    <x v="1"/>
    <x v="0"/>
    <x v="0"/>
    <x v="0"/>
    <x v="6"/>
    <x v="3"/>
    <x v="7"/>
    <x v="1"/>
  </r>
  <r>
    <x v="1259"/>
    <x v="7"/>
    <x v="9"/>
    <n v="60.6"/>
    <x v="1052"/>
    <x v="48"/>
    <d v="2025-02-20T00:00:00"/>
    <x v="1"/>
    <x v="4"/>
    <x v="0"/>
    <x v="0"/>
    <x v="6"/>
    <x v="1"/>
    <x v="7"/>
    <x v="1"/>
  </r>
  <r>
    <x v="1260"/>
    <x v="8"/>
    <x v="1"/>
    <n v="43.5"/>
    <x v="1053"/>
    <x v="48"/>
    <d v="2025-02-19T00:00:00"/>
    <x v="1"/>
    <x v="4"/>
    <x v="0"/>
    <x v="0"/>
    <x v="7"/>
    <x v="3"/>
    <x v="7"/>
    <x v="1"/>
  </r>
  <r>
    <x v="1261"/>
    <x v="2"/>
    <x v="1"/>
    <n v="187.1"/>
    <x v="1054"/>
    <x v="48"/>
    <d v="2025-02-19T00:00:00"/>
    <x v="1"/>
    <x v="1"/>
    <x v="2"/>
    <x v="0"/>
    <x v="8"/>
    <x v="3"/>
    <x v="7"/>
    <x v="1"/>
  </r>
  <r>
    <x v="1262"/>
    <x v="9"/>
    <x v="2"/>
    <n v="32"/>
    <x v="854"/>
    <x v="48"/>
    <d v="2025-02-20T00:00:00"/>
    <x v="1"/>
    <x v="0"/>
    <x v="0"/>
    <x v="0"/>
    <x v="8"/>
    <x v="1"/>
    <x v="7"/>
    <x v="1"/>
  </r>
  <r>
    <x v="1263"/>
    <x v="9"/>
    <x v="1"/>
    <n v="110.8"/>
    <x v="1055"/>
    <x v="48"/>
    <d v="2025-02-18T00:00:00"/>
    <x v="1"/>
    <x v="0"/>
    <x v="2"/>
    <x v="0"/>
    <x v="8"/>
    <x v="7"/>
    <x v="7"/>
    <x v="1"/>
  </r>
  <r>
    <x v="1264"/>
    <x v="10"/>
    <x v="15"/>
    <n v="36.1"/>
    <x v="1056"/>
    <x v="48"/>
    <d v="2025-02-21T00:00:00"/>
    <x v="2"/>
    <x v="0"/>
    <x v="1"/>
    <x v="0"/>
    <x v="8"/>
    <x v="2"/>
    <x v="7"/>
    <x v="2"/>
  </r>
  <r>
    <x v="1265"/>
    <x v="0"/>
    <x v="0"/>
    <n v="24.1"/>
    <x v="1057"/>
    <x v="48"/>
    <d v="2025-02-20T00:00:00"/>
    <x v="2"/>
    <x v="4"/>
    <x v="2"/>
    <x v="0"/>
    <x v="8"/>
    <x v="1"/>
    <x v="7"/>
    <x v="2"/>
  </r>
  <r>
    <x v="1266"/>
    <x v="19"/>
    <x v="2"/>
    <n v="30.5"/>
    <x v="1058"/>
    <x v="48"/>
    <d v="2025-02-20T00:00:00"/>
    <x v="1"/>
    <x v="1"/>
    <x v="0"/>
    <x v="0"/>
    <x v="8"/>
    <x v="1"/>
    <x v="7"/>
    <x v="1"/>
  </r>
  <r>
    <x v="1267"/>
    <x v="18"/>
    <x v="13"/>
    <n v="68.3"/>
    <x v="1059"/>
    <x v="48"/>
    <d v="2025-02-21T00:00:00"/>
    <x v="1"/>
    <x v="0"/>
    <x v="0"/>
    <x v="0"/>
    <x v="8"/>
    <x v="2"/>
    <x v="7"/>
    <x v="1"/>
  </r>
  <r>
    <x v="1268"/>
    <x v="7"/>
    <x v="2"/>
    <n v="43.3"/>
    <x v="1060"/>
    <x v="48"/>
    <d v="2025-02-22T00:00:00"/>
    <x v="2"/>
    <x v="0"/>
    <x v="0"/>
    <x v="0"/>
    <x v="17"/>
    <x v="5"/>
    <x v="7"/>
    <x v="2"/>
  </r>
  <r>
    <x v="1269"/>
    <x v="3"/>
    <x v="0"/>
    <n v="101.7"/>
    <x v="530"/>
    <x v="48"/>
    <d v="2025-02-21T00:00:00"/>
    <x v="2"/>
    <x v="0"/>
    <x v="1"/>
    <x v="0"/>
    <x v="17"/>
    <x v="2"/>
    <x v="7"/>
    <x v="2"/>
  </r>
  <r>
    <x v="1270"/>
    <x v="11"/>
    <x v="1"/>
    <n v="54.2"/>
    <x v="1061"/>
    <x v="48"/>
    <d v="2025-02-19T00:00:00"/>
    <x v="2"/>
    <x v="0"/>
    <x v="1"/>
    <x v="0"/>
    <x v="17"/>
    <x v="3"/>
    <x v="7"/>
    <x v="2"/>
  </r>
  <r>
    <x v="1271"/>
    <x v="16"/>
    <x v="1"/>
    <n v="51"/>
    <x v="1062"/>
    <x v="48"/>
    <d v="2025-02-18T00:00:00"/>
    <x v="1"/>
    <x v="1"/>
    <x v="0"/>
    <x v="0"/>
    <x v="26"/>
    <x v="7"/>
    <x v="7"/>
    <x v="1"/>
  </r>
  <r>
    <x v="1272"/>
    <x v="4"/>
    <x v="1"/>
    <n v="23.1"/>
    <x v="1063"/>
    <x v="48"/>
    <d v="2025-02-21T00:00:00"/>
    <x v="1"/>
    <x v="1"/>
    <x v="0"/>
    <x v="0"/>
    <x v="10"/>
    <x v="2"/>
    <x v="7"/>
    <x v="1"/>
  </r>
  <r>
    <x v="1273"/>
    <x v="12"/>
    <x v="13"/>
    <n v="60.1"/>
    <x v="116"/>
    <x v="48"/>
    <d v="2025-02-18T00:00:00"/>
    <x v="2"/>
    <x v="3"/>
    <x v="0"/>
    <x v="0"/>
    <x v="11"/>
    <x v="7"/>
    <x v="7"/>
    <x v="2"/>
  </r>
  <r>
    <x v="1274"/>
    <x v="2"/>
    <x v="3"/>
    <n v="87.5"/>
    <x v="1064"/>
    <x v="48"/>
    <d v="2025-02-20T00:00:00"/>
    <x v="2"/>
    <x v="0"/>
    <x v="1"/>
    <x v="0"/>
    <x v="11"/>
    <x v="1"/>
    <x v="7"/>
    <x v="2"/>
  </r>
  <r>
    <x v="1275"/>
    <x v="1"/>
    <x v="2"/>
    <n v="51"/>
    <x v="1065"/>
    <x v="48"/>
    <d v="2025-02-19T00:00:00"/>
    <x v="2"/>
    <x v="1"/>
    <x v="0"/>
    <x v="0"/>
    <x v="11"/>
    <x v="3"/>
    <x v="7"/>
    <x v="2"/>
  </r>
  <r>
    <x v="1276"/>
    <x v="8"/>
    <x v="12"/>
    <n v="19.2"/>
    <x v="714"/>
    <x v="48"/>
    <d v="2025-02-20T00:00:00"/>
    <x v="2"/>
    <x v="0"/>
    <x v="0"/>
    <x v="0"/>
    <x v="11"/>
    <x v="1"/>
    <x v="7"/>
    <x v="2"/>
  </r>
  <r>
    <x v="1277"/>
    <x v="5"/>
    <x v="8"/>
    <n v="26.5"/>
    <x v="1066"/>
    <x v="48"/>
    <d v="2025-02-19T00:00:00"/>
    <x v="0"/>
    <x v="3"/>
    <x v="2"/>
    <x v="0"/>
    <x v="11"/>
    <x v="3"/>
    <x v="7"/>
    <x v="0"/>
  </r>
  <r>
    <x v="1278"/>
    <x v="2"/>
    <x v="1"/>
    <n v="220.3"/>
    <x v="1067"/>
    <x v="48"/>
    <d v="2025-02-19T00:00:00"/>
    <x v="2"/>
    <x v="1"/>
    <x v="4"/>
    <x v="0"/>
    <x v="53"/>
    <x v="3"/>
    <x v="7"/>
    <x v="2"/>
  </r>
  <r>
    <x v="1279"/>
    <x v="8"/>
    <x v="2"/>
    <n v="45.7"/>
    <x v="1068"/>
    <x v="48"/>
    <d v="2025-02-19T00:00:00"/>
    <x v="2"/>
    <x v="4"/>
    <x v="0"/>
    <x v="0"/>
    <x v="30"/>
    <x v="3"/>
    <x v="7"/>
    <x v="2"/>
  </r>
  <r>
    <x v="1280"/>
    <x v="5"/>
    <x v="9"/>
    <n v="47.1"/>
    <x v="1069"/>
    <x v="48"/>
    <d v="2025-02-22T00:00:00"/>
    <x v="2"/>
    <x v="3"/>
    <x v="0"/>
    <x v="0"/>
    <x v="13"/>
    <x v="5"/>
    <x v="7"/>
    <x v="2"/>
  </r>
  <r>
    <x v="1281"/>
    <x v="1"/>
    <x v="9"/>
    <n v="81.7"/>
    <x v="856"/>
    <x v="48"/>
    <d v="2025-02-19T00:00:00"/>
    <x v="2"/>
    <x v="0"/>
    <x v="2"/>
    <x v="0"/>
    <x v="21"/>
    <x v="3"/>
    <x v="7"/>
    <x v="2"/>
  </r>
  <r>
    <x v="1282"/>
    <x v="6"/>
    <x v="7"/>
    <n v="97.8"/>
    <x v="1070"/>
    <x v="48"/>
    <d v="2025-02-18T00:00:00"/>
    <x v="1"/>
    <x v="1"/>
    <x v="1"/>
    <x v="0"/>
    <x v="21"/>
    <x v="7"/>
    <x v="7"/>
    <x v="1"/>
  </r>
  <r>
    <x v="1283"/>
    <x v="6"/>
    <x v="2"/>
    <n v="42.4"/>
    <x v="1071"/>
    <x v="48"/>
    <d v="2025-02-19T00:00:00"/>
    <x v="2"/>
    <x v="0"/>
    <x v="2"/>
    <x v="0"/>
    <x v="54"/>
    <x v="3"/>
    <x v="7"/>
    <x v="2"/>
  </r>
  <r>
    <x v="1284"/>
    <x v="2"/>
    <x v="7"/>
    <n v="74.5"/>
    <x v="1072"/>
    <x v="48"/>
    <d v="2025-02-19T00:00:00"/>
    <x v="1"/>
    <x v="2"/>
    <x v="1"/>
    <x v="0"/>
    <x v="1"/>
    <x v="3"/>
    <x v="7"/>
    <x v="1"/>
  </r>
  <r>
    <x v="1285"/>
    <x v="17"/>
    <x v="13"/>
    <n v="47.4"/>
    <x v="1073"/>
    <x v="48"/>
    <d v="2025-02-19T00:00:00"/>
    <x v="1"/>
    <x v="1"/>
    <x v="0"/>
    <x v="0"/>
    <x v="1"/>
    <x v="3"/>
    <x v="7"/>
    <x v="1"/>
  </r>
  <r>
    <x v="1286"/>
    <x v="14"/>
    <x v="2"/>
    <n v="17.3"/>
    <x v="1074"/>
    <x v="49"/>
    <d v="2025-02-22T00:00:00"/>
    <x v="1"/>
    <x v="2"/>
    <x v="2"/>
    <x v="0"/>
    <x v="1"/>
    <x v="2"/>
    <x v="7"/>
    <x v="1"/>
  </r>
  <r>
    <x v="1287"/>
    <x v="12"/>
    <x v="12"/>
    <n v="77.900000000000006"/>
    <x v="1075"/>
    <x v="49"/>
    <d v="2025-02-20T00:00:00"/>
    <x v="1"/>
    <x v="1"/>
    <x v="0"/>
    <x v="0"/>
    <x v="2"/>
    <x v="3"/>
    <x v="7"/>
    <x v="1"/>
  </r>
  <r>
    <x v="1288"/>
    <x v="8"/>
    <x v="0"/>
    <n v="29.1"/>
    <x v="1076"/>
    <x v="49"/>
    <d v="2025-02-22T00:00:00"/>
    <x v="1"/>
    <x v="0"/>
    <x v="2"/>
    <x v="0"/>
    <x v="50"/>
    <x v="2"/>
    <x v="7"/>
    <x v="1"/>
  </r>
  <r>
    <x v="1289"/>
    <x v="8"/>
    <x v="0"/>
    <n v="49"/>
    <x v="268"/>
    <x v="49"/>
    <d v="2025-02-20T00:00:00"/>
    <x v="1"/>
    <x v="1"/>
    <x v="0"/>
    <x v="0"/>
    <x v="3"/>
    <x v="3"/>
    <x v="7"/>
    <x v="1"/>
  </r>
  <r>
    <x v="1290"/>
    <x v="8"/>
    <x v="13"/>
    <n v="21.1"/>
    <x v="1077"/>
    <x v="49"/>
    <d v="2025-02-26T00:00:00"/>
    <x v="1"/>
    <x v="0"/>
    <x v="2"/>
    <x v="0"/>
    <x v="3"/>
    <x v="6"/>
    <x v="7"/>
    <x v="1"/>
  </r>
  <r>
    <x v="1291"/>
    <x v="4"/>
    <x v="10"/>
    <n v="36.9"/>
    <x v="1078"/>
    <x v="49"/>
    <d v="2025-02-19T00:00:00"/>
    <x v="2"/>
    <x v="0"/>
    <x v="0"/>
    <x v="0"/>
    <x v="3"/>
    <x v="7"/>
    <x v="7"/>
    <x v="2"/>
  </r>
  <r>
    <x v="1292"/>
    <x v="1"/>
    <x v="7"/>
    <n v="92.6"/>
    <x v="1079"/>
    <x v="49"/>
    <d v="2025-02-24T00:00:00"/>
    <x v="1"/>
    <x v="4"/>
    <x v="2"/>
    <x v="0"/>
    <x v="3"/>
    <x v="0"/>
    <x v="7"/>
    <x v="1"/>
  </r>
  <r>
    <x v="1293"/>
    <x v="10"/>
    <x v="1"/>
    <n v="38"/>
    <x v="998"/>
    <x v="49"/>
    <d v="2025-02-20T00:00:00"/>
    <x v="1"/>
    <x v="1"/>
    <x v="1"/>
    <x v="0"/>
    <x v="3"/>
    <x v="3"/>
    <x v="7"/>
    <x v="1"/>
  </r>
  <r>
    <x v="1294"/>
    <x v="5"/>
    <x v="2"/>
    <n v="54.8"/>
    <x v="1080"/>
    <x v="49"/>
    <d v="2025-02-23T00:00:00"/>
    <x v="0"/>
    <x v="0"/>
    <x v="1"/>
    <x v="0"/>
    <x v="3"/>
    <x v="5"/>
    <x v="7"/>
    <x v="0"/>
  </r>
  <r>
    <x v="1295"/>
    <x v="10"/>
    <x v="4"/>
    <n v="56.8"/>
    <x v="1081"/>
    <x v="49"/>
    <d v="2025-02-21T00:00:00"/>
    <x v="1"/>
    <x v="1"/>
    <x v="0"/>
    <x v="0"/>
    <x v="3"/>
    <x v="1"/>
    <x v="7"/>
    <x v="1"/>
  </r>
  <r>
    <x v="1296"/>
    <x v="11"/>
    <x v="40"/>
    <n v="47.2"/>
    <x v="1082"/>
    <x v="49"/>
    <d v="2025-02-22T00:00:00"/>
    <x v="2"/>
    <x v="1"/>
    <x v="0"/>
    <x v="0"/>
    <x v="3"/>
    <x v="2"/>
    <x v="7"/>
    <x v="2"/>
  </r>
  <r>
    <x v="1297"/>
    <x v="7"/>
    <x v="13"/>
    <n v="45.1"/>
    <x v="1083"/>
    <x v="49"/>
    <d v="2025-02-20T00:00:00"/>
    <x v="2"/>
    <x v="2"/>
    <x v="0"/>
    <x v="0"/>
    <x v="43"/>
    <x v="3"/>
    <x v="7"/>
    <x v="2"/>
  </r>
  <r>
    <x v="1298"/>
    <x v="4"/>
    <x v="4"/>
    <n v="25.2"/>
    <x v="982"/>
    <x v="49"/>
    <d v="2025-02-24T00:00:00"/>
    <x v="2"/>
    <x v="2"/>
    <x v="0"/>
    <x v="0"/>
    <x v="16"/>
    <x v="0"/>
    <x v="7"/>
    <x v="2"/>
  </r>
  <r>
    <x v="1299"/>
    <x v="8"/>
    <x v="0"/>
    <n v="22"/>
    <x v="1084"/>
    <x v="49"/>
    <d v="2025-02-20T00:00:00"/>
    <x v="2"/>
    <x v="0"/>
    <x v="0"/>
    <x v="0"/>
    <x v="5"/>
    <x v="3"/>
    <x v="7"/>
    <x v="2"/>
  </r>
  <r>
    <x v="1300"/>
    <x v="6"/>
    <x v="1"/>
    <n v="42.2"/>
    <x v="533"/>
    <x v="49"/>
    <d v="2025-02-20T00:00:00"/>
    <x v="2"/>
    <x v="1"/>
    <x v="1"/>
    <x v="0"/>
    <x v="23"/>
    <x v="3"/>
    <x v="7"/>
    <x v="2"/>
  </r>
  <r>
    <x v="1301"/>
    <x v="13"/>
    <x v="2"/>
    <n v="20.5"/>
    <x v="1085"/>
    <x v="49"/>
    <d v="2025-02-20T00:00:00"/>
    <x v="1"/>
    <x v="0"/>
    <x v="1"/>
    <x v="0"/>
    <x v="6"/>
    <x v="3"/>
    <x v="7"/>
    <x v="1"/>
  </r>
  <r>
    <x v="1302"/>
    <x v="2"/>
    <x v="0"/>
    <n v="190.4"/>
    <x v="1086"/>
    <x v="49"/>
    <d v="2025-02-24T00:00:00"/>
    <x v="1"/>
    <x v="1"/>
    <x v="4"/>
    <x v="0"/>
    <x v="6"/>
    <x v="0"/>
    <x v="7"/>
    <x v="1"/>
  </r>
  <r>
    <x v="1303"/>
    <x v="2"/>
    <x v="0"/>
    <n v="121.9"/>
    <x v="1087"/>
    <x v="49"/>
    <d v="2025-02-21T00:00:00"/>
    <x v="2"/>
    <x v="1"/>
    <x v="2"/>
    <x v="0"/>
    <x v="6"/>
    <x v="1"/>
    <x v="7"/>
    <x v="2"/>
  </r>
  <r>
    <x v="1304"/>
    <x v="2"/>
    <x v="13"/>
    <n v="149.19999999999999"/>
    <x v="1088"/>
    <x v="49"/>
    <d v="2025-02-20T00:00:00"/>
    <x v="2"/>
    <x v="2"/>
    <x v="2"/>
    <x v="0"/>
    <x v="7"/>
    <x v="3"/>
    <x v="7"/>
    <x v="2"/>
  </r>
  <r>
    <x v="1305"/>
    <x v="2"/>
    <x v="0"/>
    <n v="54.1"/>
    <x v="1089"/>
    <x v="49"/>
    <d v="2025-02-28T00:00:00"/>
    <x v="2"/>
    <x v="2"/>
    <x v="2"/>
    <x v="0"/>
    <x v="7"/>
    <x v="8"/>
    <x v="7"/>
    <x v="2"/>
  </r>
  <r>
    <x v="1306"/>
    <x v="5"/>
    <x v="1"/>
    <n v="27.4"/>
    <x v="1090"/>
    <x v="49"/>
    <d v="2025-02-21T00:00:00"/>
    <x v="1"/>
    <x v="1"/>
    <x v="0"/>
    <x v="0"/>
    <x v="8"/>
    <x v="1"/>
    <x v="7"/>
    <x v="1"/>
  </r>
  <r>
    <x v="1307"/>
    <x v="0"/>
    <x v="15"/>
    <n v="30.4"/>
    <x v="1091"/>
    <x v="49"/>
    <d v="2025-02-20T00:00:00"/>
    <x v="2"/>
    <x v="0"/>
    <x v="2"/>
    <x v="0"/>
    <x v="8"/>
    <x v="3"/>
    <x v="7"/>
    <x v="2"/>
  </r>
  <r>
    <x v="1308"/>
    <x v="12"/>
    <x v="2"/>
    <n v="46.2"/>
    <x v="209"/>
    <x v="49"/>
    <d v="2025-02-21T00:00:00"/>
    <x v="1"/>
    <x v="2"/>
    <x v="1"/>
    <x v="0"/>
    <x v="17"/>
    <x v="1"/>
    <x v="7"/>
    <x v="1"/>
  </r>
  <r>
    <x v="1309"/>
    <x v="7"/>
    <x v="8"/>
    <n v="78.599999999999994"/>
    <x v="1092"/>
    <x v="49"/>
    <d v="2025-02-23T00:00:00"/>
    <x v="1"/>
    <x v="3"/>
    <x v="0"/>
    <x v="0"/>
    <x v="17"/>
    <x v="5"/>
    <x v="7"/>
    <x v="1"/>
  </r>
  <r>
    <x v="1310"/>
    <x v="17"/>
    <x v="7"/>
    <n v="25.9"/>
    <x v="155"/>
    <x v="49"/>
    <d v="2025-02-25T00:00:00"/>
    <x v="1"/>
    <x v="4"/>
    <x v="0"/>
    <x v="0"/>
    <x v="9"/>
    <x v="4"/>
    <x v="7"/>
    <x v="1"/>
  </r>
  <r>
    <x v="1311"/>
    <x v="6"/>
    <x v="0"/>
    <n v="134.80000000000001"/>
    <x v="1093"/>
    <x v="49"/>
    <d v="2025-02-21T00:00:00"/>
    <x v="1"/>
    <x v="2"/>
    <x v="2"/>
    <x v="0"/>
    <x v="9"/>
    <x v="1"/>
    <x v="7"/>
    <x v="1"/>
  </r>
  <r>
    <x v="1312"/>
    <x v="15"/>
    <x v="9"/>
    <n v="43.1"/>
    <x v="1094"/>
    <x v="49"/>
    <d v="2025-02-21T00:00:00"/>
    <x v="2"/>
    <x v="0"/>
    <x v="0"/>
    <x v="0"/>
    <x v="11"/>
    <x v="1"/>
    <x v="7"/>
    <x v="2"/>
  </r>
  <r>
    <x v="1313"/>
    <x v="2"/>
    <x v="1"/>
    <n v="215.6"/>
    <x v="348"/>
    <x v="49"/>
    <d v="2025-02-20T00:00:00"/>
    <x v="2"/>
    <x v="2"/>
    <x v="0"/>
    <x v="0"/>
    <x v="18"/>
    <x v="3"/>
    <x v="7"/>
    <x v="2"/>
  </r>
  <r>
    <x v="1314"/>
    <x v="6"/>
    <x v="1"/>
    <n v="80.7"/>
    <x v="1095"/>
    <x v="49"/>
    <d v="2025-02-22T00:00:00"/>
    <x v="2"/>
    <x v="3"/>
    <x v="0"/>
    <x v="0"/>
    <x v="18"/>
    <x v="2"/>
    <x v="7"/>
    <x v="2"/>
  </r>
  <r>
    <x v="1315"/>
    <x v="10"/>
    <x v="3"/>
    <n v="20.6"/>
    <x v="1096"/>
    <x v="49"/>
    <d v="2025-02-24T00:00:00"/>
    <x v="0"/>
    <x v="2"/>
    <x v="1"/>
    <x v="0"/>
    <x v="19"/>
    <x v="0"/>
    <x v="7"/>
    <x v="0"/>
  </r>
  <r>
    <x v="1316"/>
    <x v="12"/>
    <x v="2"/>
    <n v="37.1"/>
    <x v="1097"/>
    <x v="49"/>
    <d v="2025-02-20T00:00:00"/>
    <x v="2"/>
    <x v="0"/>
    <x v="0"/>
    <x v="0"/>
    <x v="52"/>
    <x v="3"/>
    <x v="7"/>
    <x v="2"/>
  </r>
  <r>
    <x v="1317"/>
    <x v="12"/>
    <x v="0"/>
    <n v="104.8"/>
    <x v="661"/>
    <x v="50"/>
    <d v="2025-02-22T00:00:00"/>
    <x v="2"/>
    <x v="0"/>
    <x v="0"/>
    <x v="0"/>
    <x v="13"/>
    <x v="1"/>
    <x v="7"/>
    <x v="2"/>
  </r>
  <r>
    <x v="1318"/>
    <x v="8"/>
    <x v="1"/>
    <n v="59"/>
    <x v="1098"/>
    <x v="50"/>
    <d v="2025-02-21T00:00:00"/>
    <x v="1"/>
    <x v="1"/>
    <x v="0"/>
    <x v="0"/>
    <x v="21"/>
    <x v="3"/>
    <x v="7"/>
    <x v="1"/>
  </r>
  <r>
    <x v="1319"/>
    <x v="8"/>
    <x v="1"/>
    <n v="32.299999999999997"/>
    <x v="1099"/>
    <x v="50"/>
    <d v="2025-02-21T00:00:00"/>
    <x v="1"/>
    <x v="0"/>
    <x v="2"/>
    <x v="0"/>
    <x v="21"/>
    <x v="3"/>
    <x v="7"/>
    <x v="1"/>
  </r>
  <r>
    <x v="1320"/>
    <x v="8"/>
    <x v="12"/>
    <n v="28.9"/>
    <x v="446"/>
    <x v="50"/>
    <d v="2025-02-27T00:00:00"/>
    <x v="1"/>
    <x v="0"/>
    <x v="0"/>
    <x v="0"/>
    <x v="1"/>
    <x v="6"/>
    <x v="7"/>
    <x v="1"/>
  </r>
  <r>
    <x v="1321"/>
    <x v="0"/>
    <x v="1"/>
    <n v="29.6"/>
    <x v="1100"/>
    <x v="50"/>
    <d v="2025-02-22T00:00:00"/>
    <x v="1"/>
    <x v="0"/>
    <x v="0"/>
    <x v="0"/>
    <x v="1"/>
    <x v="1"/>
    <x v="7"/>
    <x v="1"/>
  </r>
  <r>
    <x v="1322"/>
    <x v="0"/>
    <x v="9"/>
    <n v="29.4"/>
    <x v="926"/>
    <x v="50"/>
    <d v="2025-02-23T00:00:00"/>
    <x v="2"/>
    <x v="0"/>
    <x v="0"/>
    <x v="0"/>
    <x v="1"/>
    <x v="2"/>
    <x v="7"/>
    <x v="2"/>
  </r>
  <r>
    <x v="1323"/>
    <x v="1"/>
    <x v="1"/>
    <n v="40.6"/>
    <x v="1101"/>
    <x v="50"/>
    <d v="2025-02-21T00:00:00"/>
    <x v="1"/>
    <x v="0"/>
    <x v="4"/>
    <x v="0"/>
    <x v="2"/>
    <x v="3"/>
    <x v="7"/>
    <x v="1"/>
  </r>
  <r>
    <x v="1324"/>
    <x v="0"/>
    <x v="2"/>
    <n v="32.5"/>
    <x v="647"/>
    <x v="50"/>
    <d v="2025-02-21T00:00:00"/>
    <x v="1"/>
    <x v="3"/>
    <x v="2"/>
    <x v="0"/>
    <x v="22"/>
    <x v="3"/>
    <x v="7"/>
    <x v="1"/>
  </r>
  <r>
    <x v="1325"/>
    <x v="15"/>
    <x v="0"/>
    <n v="26.2"/>
    <x v="1102"/>
    <x v="50"/>
    <d v="2025-02-22T00:00:00"/>
    <x v="1"/>
    <x v="2"/>
    <x v="0"/>
    <x v="0"/>
    <x v="55"/>
    <x v="1"/>
    <x v="7"/>
    <x v="1"/>
  </r>
  <r>
    <x v="1326"/>
    <x v="10"/>
    <x v="17"/>
    <n v="44"/>
    <x v="1103"/>
    <x v="50"/>
    <d v="2025-02-26T00:00:00"/>
    <x v="1"/>
    <x v="4"/>
    <x v="0"/>
    <x v="0"/>
    <x v="3"/>
    <x v="4"/>
    <x v="7"/>
    <x v="1"/>
  </r>
  <r>
    <x v="1327"/>
    <x v="7"/>
    <x v="12"/>
    <n v="65.599999999999994"/>
    <x v="1104"/>
    <x v="50"/>
    <d v="2025-02-21T00:00:00"/>
    <x v="2"/>
    <x v="1"/>
    <x v="1"/>
    <x v="0"/>
    <x v="3"/>
    <x v="3"/>
    <x v="7"/>
    <x v="2"/>
  </r>
  <r>
    <x v="1328"/>
    <x v="5"/>
    <x v="4"/>
    <n v="32.6"/>
    <x v="1105"/>
    <x v="50"/>
    <d v="2025-02-21T00:00:00"/>
    <x v="1"/>
    <x v="4"/>
    <x v="0"/>
    <x v="0"/>
    <x v="3"/>
    <x v="3"/>
    <x v="7"/>
    <x v="1"/>
  </r>
  <r>
    <x v="1329"/>
    <x v="16"/>
    <x v="1"/>
    <n v="88.7"/>
    <x v="633"/>
    <x v="50"/>
    <d v="2025-02-21T00:00:00"/>
    <x v="0"/>
    <x v="3"/>
    <x v="2"/>
    <x v="0"/>
    <x v="3"/>
    <x v="3"/>
    <x v="7"/>
    <x v="0"/>
  </r>
  <r>
    <x v="1330"/>
    <x v="4"/>
    <x v="1"/>
    <n v="21.3"/>
    <x v="440"/>
    <x v="50"/>
    <d v="2025-02-21T00:00:00"/>
    <x v="1"/>
    <x v="0"/>
    <x v="0"/>
    <x v="0"/>
    <x v="3"/>
    <x v="3"/>
    <x v="7"/>
    <x v="1"/>
  </r>
  <r>
    <x v="1331"/>
    <x v="4"/>
    <x v="13"/>
    <n v="50.6"/>
    <x v="80"/>
    <x v="50"/>
    <d v="2025-02-24T00:00:00"/>
    <x v="2"/>
    <x v="2"/>
    <x v="0"/>
    <x v="0"/>
    <x v="3"/>
    <x v="5"/>
    <x v="7"/>
    <x v="2"/>
  </r>
  <r>
    <x v="1332"/>
    <x v="9"/>
    <x v="38"/>
    <n v="86.9"/>
    <x v="1106"/>
    <x v="50"/>
    <d v="2025-02-23T00:00:00"/>
    <x v="2"/>
    <x v="0"/>
    <x v="1"/>
    <x v="0"/>
    <x v="3"/>
    <x v="2"/>
    <x v="7"/>
    <x v="2"/>
  </r>
  <r>
    <x v="1333"/>
    <x v="11"/>
    <x v="2"/>
    <n v="31.8"/>
    <x v="233"/>
    <x v="50"/>
    <d v="2025-02-22T00:00:00"/>
    <x v="1"/>
    <x v="0"/>
    <x v="2"/>
    <x v="0"/>
    <x v="3"/>
    <x v="1"/>
    <x v="7"/>
    <x v="1"/>
  </r>
  <r>
    <x v="1334"/>
    <x v="8"/>
    <x v="0"/>
    <n v="19"/>
    <x v="134"/>
    <x v="50"/>
    <d v="2025-02-21T00:00:00"/>
    <x v="2"/>
    <x v="0"/>
    <x v="2"/>
    <x v="0"/>
    <x v="3"/>
    <x v="3"/>
    <x v="7"/>
    <x v="2"/>
  </r>
  <r>
    <x v="1335"/>
    <x v="5"/>
    <x v="0"/>
    <n v="54.5"/>
    <x v="1107"/>
    <x v="50"/>
    <d v="2025-02-22T00:00:00"/>
    <x v="1"/>
    <x v="0"/>
    <x v="0"/>
    <x v="0"/>
    <x v="3"/>
    <x v="1"/>
    <x v="7"/>
    <x v="1"/>
  </r>
  <r>
    <x v="1336"/>
    <x v="9"/>
    <x v="9"/>
    <n v="68.900000000000006"/>
    <x v="1108"/>
    <x v="50"/>
    <d v="2025-02-22T00:00:00"/>
    <x v="1"/>
    <x v="4"/>
    <x v="1"/>
    <x v="0"/>
    <x v="3"/>
    <x v="1"/>
    <x v="7"/>
    <x v="1"/>
  </r>
  <r>
    <x v="1337"/>
    <x v="6"/>
    <x v="2"/>
    <n v="84"/>
    <x v="816"/>
    <x v="50"/>
    <d v="2025-02-21T00:00:00"/>
    <x v="1"/>
    <x v="1"/>
    <x v="4"/>
    <x v="0"/>
    <x v="16"/>
    <x v="3"/>
    <x v="7"/>
    <x v="1"/>
  </r>
  <r>
    <x v="1338"/>
    <x v="15"/>
    <x v="8"/>
    <n v="23.1"/>
    <x v="827"/>
    <x v="50"/>
    <d v="2025-02-25T00:00:00"/>
    <x v="1"/>
    <x v="0"/>
    <x v="2"/>
    <x v="0"/>
    <x v="23"/>
    <x v="0"/>
    <x v="7"/>
    <x v="1"/>
  </r>
  <r>
    <x v="1339"/>
    <x v="7"/>
    <x v="1"/>
    <n v="62.4"/>
    <x v="1109"/>
    <x v="50"/>
    <d v="2025-02-21T00:00:00"/>
    <x v="2"/>
    <x v="0"/>
    <x v="1"/>
    <x v="0"/>
    <x v="6"/>
    <x v="3"/>
    <x v="7"/>
    <x v="2"/>
  </r>
  <r>
    <x v="1340"/>
    <x v="6"/>
    <x v="4"/>
    <n v="40.700000000000003"/>
    <x v="1110"/>
    <x v="50"/>
    <d v="2025-02-22T00:00:00"/>
    <x v="1"/>
    <x v="1"/>
    <x v="2"/>
    <x v="0"/>
    <x v="6"/>
    <x v="1"/>
    <x v="7"/>
    <x v="1"/>
  </r>
  <r>
    <x v="1341"/>
    <x v="6"/>
    <x v="0"/>
    <n v="49.6"/>
    <x v="1111"/>
    <x v="50"/>
    <d v="2025-02-23T00:00:00"/>
    <x v="1"/>
    <x v="2"/>
    <x v="0"/>
    <x v="0"/>
    <x v="7"/>
    <x v="2"/>
    <x v="7"/>
    <x v="1"/>
  </r>
  <r>
    <x v="1342"/>
    <x v="7"/>
    <x v="41"/>
    <n v="66.599999999999994"/>
    <x v="1112"/>
    <x v="50"/>
    <d v="2025-02-23T00:00:00"/>
    <x v="1"/>
    <x v="2"/>
    <x v="0"/>
    <x v="0"/>
    <x v="8"/>
    <x v="2"/>
    <x v="7"/>
    <x v="1"/>
  </r>
  <r>
    <x v="1343"/>
    <x v="8"/>
    <x v="2"/>
    <n v="26.4"/>
    <x v="1113"/>
    <x v="50"/>
    <d v="2025-02-21T00:00:00"/>
    <x v="2"/>
    <x v="1"/>
    <x v="1"/>
    <x v="0"/>
    <x v="8"/>
    <x v="3"/>
    <x v="7"/>
    <x v="2"/>
  </r>
  <r>
    <x v="1344"/>
    <x v="0"/>
    <x v="1"/>
    <n v="17.2"/>
    <x v="1114"/>
    <x v="50"/>
    <d v="2025-02-23T00:00:00"/>
    <x v="1"/>
    <x v="2"/>
    <x v="1"/>
    <x v="0"/>
    <x v="8"/>
    <x v="2"/>
    <x v="7"/>
    <x v="1"/>
  </r>
  <r>
    <x v="1345"/>
    <x v="5"/>
    <x v="8"/>
    <n v="58.1"/>
    <x v="1115"/>
    <x v="50"/>
    <d v="2025-02-23T00:00:00"/>
    <x v="2"/>
    <x v="4"/>
    <x v="0"/>
    <x v="0"/>
    <x v="8"/>
    <x v="2"/>
    <x v="7"/>
    <x v="2"/>
  </r>
  <r>
    <x v="1346"/>
    <x v="15"/>
    <x v="12"/>
    <n v="31.5"/>
    <x v="624"/>
    <x v="50"/>
    <d v="2025-02-23T00:00:00"/>
    <x v="2"/>
    <x v="4"/>
    <x v="4"/>
    <x v="0"/>
    <x v="8"/>
    <x v="2"/>
    <x v="7"/>
    <x v="2"/>
  </r>
  <r>
    <x v="1347"/>
    <x v="0"/>
    <x v="0"/>
    <n v="27.1"/>
    <x v="1116"/>
    <x v="50"/>
    <d v="2025-02-22T00:00:00"/>
    <x v="2"/>
    <x v="0"/>
    <x v="1"/>
    <x v="0"/>
    <x v="17"/>
    <x v="1"/>
    <x v="7"/>
    <x v="2"/>
  </r>
  <r>
    <x v="1348"/>
    <x v="18"/>
    <x v="12"/>
    <n v="28.5"/>
    <x v="717"/>
    <x v="50"/>
    <d v="2025-02-22T00:00:00"/>
    <x v="1"/>
    <x v="1"/>
    <x v="2"/>
    <x v="0"/>
    <x v="9"/>
    <x v="1"/>
    <x v="7"/>
    <x v="1"/>
  </r>
  <r>
    <x v="1349"/>
    <x v="10"/>
    <x v="0"/>
    <n v="40.5"/>
    <x v="1117"/>
    <x v="51"/>
    <d v="2025-02-23T00:00:00"/>
    <x v="3"/>
    <x v="2"/>
    <x v="0"/>
    <x v="0"/>
    <x v="9"/>
    <x v="1"/>
    <x v="7"/>
    <x v="3"/>
  </r>
  <r>
    <x v="1350"/>
    <x v="2"/>
    <x v="2"/>
    <n v="77.900000000000006"/>
    <x v="1118"/>
    <x v="51"/>
    <d v="2025-02-25T00:00:00"/>
    <x v="2"/>
    <x v="1"/>
    <x v="2"/>
    <x v="0"/>
    <x v="19"/>
    <x v="5"/>
    <x v="7"/>
    <x v="2"/>
  </r>
  <r>
    <x v="1351"/>
    <x v="18"/>
    <x v="12"/>
    <n v="37.1"/>
    <x v="1119"/>
    <x v="51"/>
    <d v="2025-02-23T00:00:00"/>
    <x v="1"/>
    <x v="4"/>
    <x v="2"/>
    <x v="0"/>
    <x v="19"/>
    <x v="1"/>
    <x v="7"/>
    <x v="1"/>
  </r>
  <r>
    <x v="1352"/>
    <x v="16"/>
    <x v="2"/>
    <n v="51.6"/>
    <x v="1120"/>
    <x v="51"/>
    <d v="2025-03-01T00:00:00"/>
    <x v="2"/>
    <x v="0"/>
    <x v="4"/>
    <x v="0"/>
    <x v="19"/>
    <x v="9"/>
    <x v="7"/>
    <x v="2"/>
  </r>
  <r>
    <x v="1353"/>
    <x v="7"/>
    <x v="2"/>
    <n v="98"/>
    <x v="1121"/>
    <x v="51"/>
    <d v="2025-02-22T00:00:00"/>
    <x v="1"/>
    <x v="1"/>
    <x v="1"/>
    <x v="0"/>
    <x v="19"/>
    <x v="3"/>
    <x v="7"/>
    <x v="1"/>
  </r>
  <r>
    <x v="1354"/>
    <x v="6"/>
    <x v="3"/>
    <n v="41.4"/>
    <x v="1122"/>
    <x v="51"/>
    <d v="2025-02-22T00:00:00"/>
    <x v="1"/>
    <x v="1"/>
    <x v="0"/>
    <x v="0"/>
    <x v="20"/>
    <x v="3"/>
    <x v="7"/>
    <x v="1"/>
  </r>
  <r>
    <x v="1355"/>
    <x v="11"/>
    <x v="8"/>
    <n v="34"/>
    <x v="1123"/>
    <x v="51"/>
    <d v="2025-02-26T00:00:00"/>
    <x v="2"/>
    <x v="0"/>
    <x v="2"/>
    <x v="0"/>
    <x v="52"/>
    <x v="0"/>
    <x v="7"/>
    <x v="2"/>
  </r>
  <r>
    <x v="1356"/>
    <x v="6"/>
    <x v="0"/>
    <n v="66.3"/>
    <x v="1124"/>
    <x v="51"/>
    <d v="2025-02-22T00:00:00"/>
    <x v="2"/>
    <x v="1"/>
    <x v="0"/>
    <x v="0"/>
    <x v="13"/>
    <x v="3"/>
    <x v="7"/>
    <x v="2"/>
  </r>
  <r>
    <x v="1357"/>
    <x v="7"/>
    <x v="0"/>
    <n v="33.5"/>
    <x v="253"/>
    <x v="51"/>
    <d v="2025-02-25T00:00:00"/>
    <x v="1"/>
    <x v="2"/>
    <x v="0"/>
    <x v="0"/>
    <x v="13"/>
    <x v="5"/>
    <x v="7"/>
    <x v="1"/>
  </r>
  <r>
    <x v="1358"/>
    <x v="12"/>
    <x v="1"/>
    <n v="70.8"/>
    <x v="932"/>
    <x v="51"/>
    <d v="2025-02-22T00:00:00"/>
    <x v="0"/>
    <x v="0"/>
    <x v="0"/>
    <x v="0"/>
    <x v="28"/>
    <x v="3"/>
    <x v="7"/>
    <x v="0"/>
  </r>
  <r>
    <x v="1359"/>
    <x v="6"/>
    <x v="1"/>
    <n v="127.6"/>
    <x v="281"/>
    <x v="51"/>
    <d v="2025-02-22T00:00:00"/>
    <x v="1"/>
    <x v="0"/>
    <x v="0"/>
    <x v="0"/>
    <x v="21"/>
    <x v="3"/>
    <x v="7"/>
    <x v="1"/>
  </r>
  <r>
    <x v="1360"/>
    <x v="6"/>
    <x v="2"/>
    <n v="95.9"/>
    <x v="1125"/>
    <x v="51"/>
    <d v="2025-02-22T00:00:00"/>
    <x v="2"/>
    <x v="1"/>
    <x v="1"/>
    <x v="0"/>
    <x v="21"/>
    <x v="3"/>
    <x v="7"/>
    <x v="2"/>
  </r>
  <r>
    <x v="1361"/>
    <x v="2"/>
    <x v="1"/>
    <n v="78.099999999999994"/>
    <x v="1126"/>
    <x v="51"/>
    <d v="2025-02-22T00:00:00"/>
    <x v="1"/>
    <x v="0"/>
    <x v="0"/>
    <x v="0"/>
    <x v="1"/>
    <x v="3"/>
    <x v="7"/>
    <x v="1"/>
  </r>
  <r>
    <x v="1362"/>
    <x v="13"/>
    <x v="1"/>
    <n v="43.2"/>
    <x v="781"/>
    <x v="51"/>
    <d v="2025-02-22T00:00:00"/>
    <x v="0"/>
    <x v="1"/>
    <x v="1"/>
    <x v="0"/>
    <x v="1"/>
    <x v="3"/>
    <x v="7"/>
    <x v="0"/>
  </r>
  <r>
    <x v="1363"/>
    <x v="8"/>
    <x v="12"/>
    <n v="28.4"/>
    <x v="1127"/>
    <x v="51"/>
    <d v="2025-02-27T00:00:00"/>
    <x v="1"/>
    <x v="2"/>
    <x v="0"/>
    <x v="0"/>
    <x v="3"/>
    <x v="4"/>
    <x v="7"/>
    <x v="1"/>
  </r>
  <r>
    <x v="1364"/>
    <x v="2"/>
    <x v="1"/>
    <n v="81.7"/>
    <x v="1128"/>
    <x v="51"/>
    <d v="2025-02-21T00:00:00"/>
    <x v="1"/>
    <x v="0"/>
    <x v="0"/>
    <x v="0"/>
    <x v="3"/>
    <x v="7"/>
    <x v="7"/>
    <x v="1"/>
  </r>
  <r>
    <x v="1365"/>
    <x v="18"/>
    <x v="1"/>
    <n v="56.7"/>
    <x v="1129"/>
    <x v="51"/>
    <d v="2025-02-23T00:00:00"/>
    <x v="0"/>
    <x v="0"/>
    <x v="2"/>
    <x v="0"/>
    <x v="3"/>
    <x v="1"/>
    <x v="7"/>
    <x v="0"/>
  </r>
  <r>
    <x v="1366"/>
    <x v="3"/>
    <x v="12"/>
    <n v="66.5"/>
    <x v="751"/>
    <x v="51"/>
    <d v="2025-02-21T00:00:00"/>
    <x v="2"/>
    <x v="0"/>
    <x v="2"/>
    <x v="0"/>
    <x v="3"/>
    <x v="7"/>
    <x v="7"/>
    <x v="2"/>
  </r>
  <r>
    <x v="1367"/>
    <x v="1"/>
    <x v="1"/>
    <n v="105.3"/>
    <x v="1130"/>
    <x v="51"/>
    <d v="2025-02-25T00:00:00"/>
    <x v="1"/>
    <x v="0"/>
    <x v="1"/>
    <x v="0"/>
    <x v="3"/>
    <x v="5"/>
    <x v="7"/>
    <x v="1"/>
  </r>
  <r>
    <x v="1368"/>
    <x v="10"/>
    <x v="9"/>
    <n v="33.799999999999997"/>
    <x v="900"/>
    <x v="51"/>
    <d v="2025-02-26T00:00:00"/>
    <x v="1"/>
    <x v="0"/>
    <x v="0"/>
    <x v="0"/>
    <x v="3"/>
    <x v="0"/>
    <x v="7"/>
    <x v="1"/>
  </r>
  <r>
    <x v="1369"/>
    <x v="6"/>
    <x v="2"/>
    <n v="63.4"/>
    <x v="1131"/>
    <x v="51"/>
    <d v="2025-02-26T00:00:00"/>
    <x v="1"/>
    <x v="3"/>
    <x v="1"/>
    <x v="0"/>
    <x v="24"/>
    <x v="0"/>
    <x v="7"/>
    <x v="1"/>
  </r>
  <r>
    <x v="1370"/>
    <x v="6"/>
    <x v="2"/>
    <n v="49"/>
    <x v="926"/>
    <x v="51"/>
    <d v="2025-02-25T00:00:00"/>
    <x v="1"/>
    <x v="3"/>
    <x v="0"/>
    <x v="0"/>
    <x v="49"/>
    <x v="5"/>
    <x v="7"/>
    <x v="1"/>
  </r>
  <r>
    <x v="1371"/>
    <x v="1"/>
    <x v="1"/>
    <n v="40"/>
    <x v="479"/>
    <x v="51"/>
    <d v="2025-02-22T00:00:00"/>
    <x v="2"/>
    <x v="4"/>
    <x v="1"/>
    <x v="0"/>
    <x v="23"/>
    <x v="3"/>
    <x v="7"/>
    <x v="2"/>
  </r>
  <r>
    <x v="1372"/>
    <x v="6"/>
    <x v="12"/>
    <n v="86.3"/>
    <x v="1132"/>
    <x v="51"/>
    <d v="2025-02-22T00:00:00"/>
    <x v="3"/>
    <x v="0"/>
    <x v="0"/>
    <x v="0"/>
    <x v="6"/>
    <x v="3"/>
    <x v="7"/>
    <x v="3"/>
  </r>
  <r>
    <x v="1373"/>
    <x v="6"/>
    <x v="0"/>
    <n v="51.6"/>
    <x v="937"/>
    <x v="51"/>
    <d v="2025-02-23T00:00:00"/>
    <x v="2"/>
    <x v="2"/>
    <x v="2"/>
    <x v="0"/>
    <x v="6"/>
    <x v="1"/>
    <x v="7"/>
    <x v="2"/>
  </r>
  <r>
    <x v="1374"/>
    <x v="10"/>
    <x v="2"/>
    <n v="26.7"/>
    <x v="1133"/>
    <x v="51"/>
    <d v="2025-02-26T00:00:00"/>
    <x v="2"/>
    <x v="2"/>
    <x v="1"/>
    <x v="0"/>
    <x v="6"/>
    <x v="0"/>
    <x v="7"/>
    <x v="2"/>
  </r>
  <r>
    <x v="1375"/>
    <x v="18"/>
    <x v="1"/>
    <n v="68.099999999999994"/>
    <x v="1134"/>
    <x v="51"/>
    <d v="2025-02-22T00:00:00"/>
    <x v="1"/>
    <x v="0"/>
    <x v="1"/>
    <x v="0"/>
    <x v="6"/>
    <x v="3"/>
    <x v="7"/>
    <x v="1"/>
  </r>
  <r>
    <x v="1376"/>
    <x v="1"/>
    <x v="0"/>
    <n v="81.7"/>
    <x v="1135"/>
    <x v="51"/>
    <d v="2025-02-22T00:00:00"/>
    <x v="1"/>
    <x v="0"/>
    <x v="0"/>
    <x v="0"/>
    <x v="7"/>
    <x v="3"/>
    <x v="7"/>
    <x v="1"/>
  </r>
  <r>
    <x v="1377"/>
    <x v="18"/>
    <x v="7"/>
    <n v="25.1"/>
    <x v="1136"/>
    <x v="51"/>
    <d v="2025-02-24T00:00:00"/>
    <x v="1"/>
    <x v="3"/>
    <x v="1"/>
    <x v="0"/>
    <x v="8"/>
    <x v="2"/>
    <x v="7"/>
    <x v="1"/>
  </r>
  <r>
    <x v="1378"/>
    <x v="8"/>
    <x v="0"/>
    <n v="20.2"/>
    <x v="1137"/>
    <x v="51"/>
    <d v="2025-02-25T00:00:00"/>
    <x v="2"/>
    <x v="0"/>
    <x v="0"/>
    <x v="0"/>
    <x v="8"/>
    <x v="5"/>
    <x v="7"/>
    <x v="2"/>
  </r>
  <r>
    <x v="1379"/>
    <x v="8"/>
    <x v="2"/>
    <n v="15.4"/>
    <x v="1063"/>
    <x v="51"/>
    <d v="2025-02-22T00:00:00"/>
    <x v="1"/>
    <x v="1"/>
    <x v="2"/>
    <x v="0"/>
    <x v="8"/>
    <x v="3"/>
    <x v="7"/>
    <x v="1"/>
  </r>
  <r>
    <x v="1380"/>
    <x v="10"/>
    <x v="0"/>
    <n v="59.2"/>
    <x v="1100"/>
    <x v="51"/>
    <d v="2025-02-22T00:00:00"/>
    <x v="1"/>
    <x v="2"/>
    <x v="2"/>
    <x v="0"/>
    <x v="17"/>
    <x v="3"/>
    <x v="7"/>
    <x v="1"/>
  </r>
  <r>
    <x v="1381"/>
    <x v="0"/>
    <x v="0"/>
    <n v="46.7"/>
    <x v="594"/>
    <x v="51"/>
    <d v="2025-02-26T00:00:00"/>
    <x v="1"/>
    <x v="0"/>
    <x v="0"/>
    <x v="0"/>
    <x v="17"/>
    <x v="0"/>
    <x v="7"/>
    <x v="1"/>
  </r>
  <r>
    <x v="1382"/>
    <x v="6"/>
    <x v="20"/>
    <n v="41.6"/>
    <x v="1138"/>
    <x v="51"/>
    <d v="2025-02-23T00:00:00"/>
    <x v="1"/>
    <x v="1"/>
    <x v="0"/>
    <x v="0"/>
    <x v="26"/>
    <x v="1"/>
    <x v="7"/>
    <x v="1"/>
  </r>
  <r>
    <x v="1383"/>
    <x v="8"/>
    <x v="1"/>
    <n v="19.2"/>
    <x v="1139"/>
    <x v="51"/>
    <d v="2025-02-24T00:00:00"/>
    <x v="1"/>
    <x v="4"/>
    <x v="2"/>
    <x v="0"/>
    <x v="9"/>
    <x v="2"/>
    <x v="7"/>
    <x v="1"/>
  </r>
  <r>
    <x v="1384"/>
    <x v="17"/>
    <x v="3"/>
    <n v="41.8"/>
    <x v="1140"/>
    <x v="51"/>
    <d v="2025-02-23T00:00:00"/>
    <x v="2"/>
    <x v="2"/>
    <x v="0"/>
    <x v="0"/>
    <x v="11"/>
    <x v="1"/>
    <x v="7"/>
    <x v="2"/>
  </r>
  <r>
    <x v="1385"/>
    <x v="8"/>
    <x v="13"/>
    <n v="37.4"/>
    <x v="1141"/>
    <x v="51"/>
    <d v="2025-02-23T00:00:00"/>
    <x v="1"/>
    <x v="0"/>
    <x v="2"/>
    <x v="0"/>
    <x v="11"/>
    <x v="1"/>
    <x v="7"/>
    <x v="1"/>
  </r>
  <r>
    <x v="1386"/>
    <x v="10"/>
    <x v="2"/>
    <n v="60.2"/>
    <x v="1142"/>
    <x v="51"/>
    <d v="2025-02-24T00:00:00"/>
    <x v="1"/>
    <x v="4"/>
    <x v="1"/>
    <x v="0"/>
    <x v="38"/>
    <x v="2"/>
    <x v="7"/>
    <x v="1"/>
  </r>
  <r>
    <x v="1387"/>
    <x v="9"/>
    <x v="1"/>
    <n v="91.5"/>
    <x v="1143"/>
    <x v="52"/>
    <d v="2025-02-23T00:00:00"/>
    <x v="1"/>
    <x v="0"/>
    <x v="0"/>
    <x v="0"/>
    <x v="13"/>
    <x v="3"/>
    <x v="7"/>
    <x v="1"/>
  </r>
  <r>
    <x v="1388"/>
    <x v="3"/>
    <x v="9"/>
    <n v="55.7"/>
    <x v="1144"/>
    <x v="52"/>
    <d v="2025-02-24T00:00:00"/>
    <x v="0"/>
    <x v="1"/>
    <x v="2"/>
    <x v="0"/>
    <x v="21"/>
    <x v="1"/>
    <x v="7"/>
    <x v="0"/>
  </r>
  <r>
    <x v="1389"/>
    <x v="7"/>
    <x v="1"/>
    <n v="76.7"/>
    <x v="1145"/>
    <x v="52"/>
    <d v="2025-02-24T00:00:00"/>
    <x v="1"/>
    <x v="0"/>
    <x v="1"/>
    <x v="0"/>
    <x v="21"/>
    <x v="1"/>
    <x v="7"/>
    <x v="1"/>
  </r>
  <r>
    <x v="1390"/>
    <x v="8"/>
    <x v="38"/>
    <n v="28.2"/>
    <x v="1146"/>
    <x v="52"/>
    <d v="2025-02-27T00:00:00"/>
    <x v="1"/>
    <x v="2"/>
    <x v="0"/>
    <x v="0"/>
    <x v="1"/>
    <x v="0"/>
    <x v="7"/>
    <x v="1"/>
  </r>
  <r>
    <x v="1391"/>
    <x v="7"/>
    <x v="9"/>
    <n v="93.2"/>
    <x v="1147"/>
    <x v="52"/>
    <d v="2025-02-24T00:00:00"/>
    <x v="2"/>
    <x v="4"/>
    <x v="2"/>
    <x v="0"/>
    <x v="1"/>
    <x v="1"/>
    <x v="7"/>
    <x v="2"/>
  </r>
  <r>
    <x v="1392"/>
    <x v="17"/>
    <x v="0"/>
    <n v="33.299999999999997"/>
    <x v="698"/>
    <x v="52"/>
    <d v="2025-02-23T00:00:00"/>
    <x v="1"/>
    <x v="4"/>
    <x v="0"/>
    <x v="0"/>
    <x v="2"/>
    <x v="3"/>
    <x v="7"/>
    <x v="1"/>
  </r>
  <r>
    <x v="1393"/>
    <x v="10"/>
    <x v="1"/>
    <n v="39.1"/>
    <x v="1148"/>
    <x v="52"/>
    <d v="2025-02-25T00:00:00"/>
    <x v="1"/>
    <x v="0"/>
    <x v="0"/>
    <x v="0"/>
    <x v="44"/>
    <x v="2"/>
    <x v="7"/>
    <x v="1"/>
  </r>
  <r>
    <x v="1394"/>
    <x v="7"/>
    <x v="4"/>
    <n v="45.3"/>
    <x v="1149"/>
    <x v="52"/>
    <d v="2025-02-23T00:00:00"/>
    <x v="1"/>
    <x v="2"/>
    <x v="0"/>
    <x v="0"/>
    <x v="33"/>
    <x v="3"/>
    <x v="7"/>
    <x v="1"/>
  </r>
  <r>
    <x v="1395"/>
    <x v="9"/>
    <x v="3"/>
    <n v="33.9"/>
    <x v="1150"/>
    <x v="52"/>
    <d v="2025-02-23T00:00:00"/>
    <x v="1"/>
    <x v="4"/>
    <x v="0"/>
    <x v="0"/>
    <x v="33"/>
    <x v="3"/>
    <x v="7"/>
    <x v="1"/>
  </r>
  <r>
    <x v="1396"/>
    <x v="8"/>
    <x v="2"/>
    <n v="19"/>
    <x v="933"/>
    <x v="52"/>
    <d v="2025-02-23T00:00:00"/>
    <x v="1"/>
    <x v="0"/>
    <x v="2"/>
    <x v="0"/>
    <x v="15"/>
    <x v="3"/>
    <x v="7"/>
    <x v="1"/>
  </r>
  <r>
    <x v="1397"/>
    <x v="4"/>
    <x v="0"/>
    <n v="41.9"/>
    <x v="1151"/>
    <x v="52"/>
    <d v="2025-02-25T00:00:00"/>
    <x v="2"/>
    <x v="2"/>
    <x v="0"/>
    <x v="0"/>
    <x v="22"/>
    <x v="2"/>
    <x v="7"/>
    <x v="2"/>
  </r>
  <r>
    <x v="1398"/>
    <x v="1"/>
    <x v="12"/>
    <n v="37.5"/>
    <x v="638"/>
    <x v="52"/>
    <d v="2025-02-22T00:00:00"/>
    <x v="2"/>
    <x v="0"/>
    <x v="0"/>
    <x v="0"/>
    <x v="3"/>
    <x v="7"/>
    <x v="7"/>
    <x v="2"/>
  </r>
  <r>
    <x v="1399"/>
    <x v="0"/>
    <x v="1"/>
    <n v="40.799999999999997"/>
    <x v="330"/>
    <x v="52"/>
    <d v="2025-02-25T00:00:00"/>
    <x v="1"/>
    <x v="0"/>
    <x v="0"/>
    <x v="0"/>
    <x v="3"/>
    <x v="2"/>
    <x v="7"/>
    <x v="1"/>
  </r>
  <r>
    <x v="1400"/>
    <x v="0"/>
    <x v="12"/>
    <n v="23.1"/>
    <x v="1152"/>
    <x v="52"/>
    <d v="2025-02-23T00:00:00"/>
    <x v="2"/>
    <x v="4"/>
    <x v="0"/>
    <x v="0"/>
    <x v="3"/>
    <x v="3"/>
    <x v="7"/>
    <x v="2"/>
  </r>
  <r>
    <x v="1401"/>
    <x v="8"/>
    <x v="9"/>
    <n v="39.299999999999997"/>
    <x v="756"/>
    <x v="52"/>
    <d v="2025-02-23T00:00:00"/>
    <x v="2"/>
    <x v="0"/>
    <x v="0"/>
    <x v="0"/>
    <x v="3"/>
    <x v="3"/>
    <x v="7"/>
    <x v="2"/>
  </r>
  <r>
    <x v="1402"/>
    <x v="2"/>
    <x v="12"/>
    <n v="85.2"/>
    <x v="1153"/>
    <x v="52"/>
    <d v="2025-02-27T00:00:00"/>
    <x v="1"/>
    <x v="2"/>
    <x v="0"/>
    <x v="0"/>
    <x v="3"/>
    <x v="0"/>
    <x v="7"/>
    <x v="1"/>
  </r>
  <r>
    <x v="1403"/>
    <x v="8"/>
    <x v="13"/>
    <n v="16"/>
    <x v="854"/>
    <x v="52"/>
    <d v="2025-02-25T00:00:00"/>
    <x v="1"/>
    <x v="1"/>
    <x v="0"/>
    <x v="0"/>
    <x v="3"/>
    <x v="2"/>
    <x v="7"/>
    <x v="1"/>
  </r>
  <r>
    <x v="1404"/>
    <x v="1"/>
    <x v="1"/>
    <n v="33.799999999999997"/>
    <x v="821"/>
    <x v="52"/>
    <d v="2025-02-26T00:00:00"/>
    <x v="2"/>
    <x v="1"/>
    <x v="0"/>
    <x v="0"/>
    <x v="3"/>
    <x v="5"/>
    <x v="7"/>
    <x v="2"/>
  </r>
  <r>
    <x v="1405"/>
    <x v="3"/>
    <x v="0"/>
    <n v="70"/>
    <x v="1154"/>
    <x v="52"/>
    <d v="2025-02-23T00:00:00"/>
    <x v="2"/>
    <x v="0"/>
    <x v="0"/>
    <x v="0"/>
    <x v="3"/>
    <x v="3"/>
    <x v="7"/>
    <x v="2"/>
  </r>
  <r>
    <x v="1406"/>
    <x v="9"/>
    <x v="0"/>
    <n v="88"/>
    <x v="1155"/>
    <x v="52"/>
    <d v="2025-02-27T00:00:00"/>
    <x v="2"/>
    <x v="3"/>
    <x v="0"/>
    <x v="0"/>
    <x v="3"/>
    <x v="0"/>
    <x v="7"/>
    <x v="2"/>
  </r>
  <r>
    <x v="1407"/>
    <x v="2"/>
    <x v="2"/>
    <n v="74.099999999999994"/>
    <x v="1156"/>
    <x v="52"/>
    <d v="2025-02-22T00:00:00"/>
    <x v="1"/>
    <x v="4"/>
    <x v="1"/>
    <x v="0"/>
    <x v="3"/>
    <x v="7"/>
    <x v="7"/>
    <x v="1"/>
  </r>
  <r>
    <x v="1408"/>
    <x v="2"/>
    <x v="0"/>
    <n v="161.9"/>
    <x v="1157"/>
    <x v="52"/>
    <d v="2025-02-24T00:00:00"/>
    <x v="1"/>
    <x v="2"/>
    <x v="0"/>
    <x v="0"/>
    <x v="3"/>
    <x v="1"/>
    <x v="7"/>
    <x v="1"/>
  </r>
  <r>
    <x v="1409"/>
    <x v="4"/>
    <x v="1"/>
    <n v="44"/>
    <x v="1155"/>
    <x v="52"/>
    <d v="2025-02-23T00:00:00"/>
    <x v="3"/>
    <x v="4"/>
    <x v="1"/>
    <x v="0"/>
    <x v="3"/>
    <x v="3"/>
    <x v="7"/>
    <x v="3"/>
  </r>
  <r>
    <x v="1410"/>
    <x v="11"/>
    <x v="0"/>
    <n v="32.1"/>
    <x v="1158"/>
    <x v="52"/>
    <d v="2025-02-22T00:00:00"/>
    <x v="2"/>
    <x v="3"/>
    <x v="3"/>
    <x v="0"/>
    <x v="3"/>
    <x v="7"/>
    <x v="7"/>
    <x v="2"/>
  </r>
  <r>
    <x v="1411"/>
    <x v="2"/>
    <x v="12"/>
    <n v="104.8"/>
    <x v="1159"/>
    <x v="53"/>
    <d v="2025-02-25T00:00:00"/>
    <x v="3"/>
    <x v="0"/>
    <x v="0"/>
    <x v="0"/>
    <x v="3"/>
    <x v="1"/>
    <x v="8"/>
    <x v="3"/>
  </r>
  <r>
    <x v="1412"/>
    <x v="9"/>
    <x v="13"/>
    <n v="67.400000000000006"/>
    <x v="1160"/>
    <x v="53"/>
    <d v="2025-02-24T00:00:00"/>
    <x v="2"/>
    <x v="3"/>
    <x v="0"/>
    <x v="0"/>
    <x v="3"/>
    <x v="3"/>
    <x v="8"/>
    <x v="2"/>
  </r>
  <r>
    <x v="1413"/>
    <x v="6"/>
    <x v="1"/>
    <n v="115.2"/>
    <x v="1161"/>
    <x v="53"/>
    <d v="2025-02-24T00:00:00"/>
    <x v="2"/>
    <x v="1"/>
    <x v="0"/>
    <x v="0"/>
    <x v="4"/>
    <x v="3"/>
    <x v="8"/>
    <x v="2"/>
  </r>
  <r>
    <x v="1414"/>
    <x v="8"/>
    <x v="19"/>
    <n v="15.5"/>
    <x v="148"/>
    <x v="53"/>
    <d v="2025-02-25T00:00:00"/>
    <x v="2"/>
    <x v="0"/>
    <x v="1"/>
    <x v="0"/>
    <x v="23"/>
    <x v="1"/>
    <x v="8"/>
    <x v="2"/>
  </r>
  <r>
    <x v="1415"/>
    <x v="6"/>
    <x v="5"/>
    <n v="66.400000000000006"/>
    <x v="1162"/>
    <x v="53"/>
    <d v="2025-02-25T00:00:00"/>
    <x v="2"/>
    <x v="0"/>
    <x v="0"/>
    <x v="0"/>
    <x v="6"/>
    <x v="1"/>
    <x v="8"/>
    <x v="2"/>
  </r>
  <r>
    <x v="1416"/>
    <x v="9"/>
    <x v="4"/>
    <n v="68.099999999999994"/>
    <x v="1163"/>
    <x v="53"/>
    <d v="2025-02-24T00:00:00"/>
    <x v="2"/>
    <x v="2"/>
    <x v="0"/>
    <x v="0"/>
    <x v="8"/>
    <x v="3"/>
    <x v="8"/>
    <x v="2"/>
  </r>
  <r>
    <x v="1417"/>
    <x v="8"/>
    <x v="9"/>
    <n v="32.5"/>
    <x v="1164"/>
    <x v="53"/>
    <d v="2025-02-27T00:00:00"/>
    <x v="1"/>
    <x v="2"/>
    <x v="1"/>
    <x v="0"/>
    <x v="8"/>
    <x v="5"/>
    <x v="8"/>
    <x v="1"/>
  </r>
  <r>
    <x v="1418"/>
    <x v="15"/>
    <x v="2"/>
    <n v="61.2"/>
    <x v="1165"/>
    <x v="53"/>
    <d v="2025-02-25T00:00:00"/>
    <x v="2"/>
    <x v="1"/>
    <x v="1"/>
    <x v="0"/>
    <x v="8"/>
    <x v="1"/>
    <x v="8"/>
    <x v="2"/>
  </r>
  <r>
    <x v="1419"/>
    <x v="9"/>
    <x v="1"/>
    <n v="54.2"/>
    <x v="1061"/>
    <x v="53"/>
    <d v="2025-02-24T00:00:00"/>
    <x v="2"/>
    <x v="1"/>
    <x v="0"/>
    <x v="0"/>
    <x v="8"/>
    <x v="3"/>
    <x v="8"/>
    <x v="2"/>
  </r>
  <r>
    <x v="1420"/>
    <x v="11"/>
    <x v="8"/>
    <n v="28.7"/>
    <x v="1166"/>
    <x v="53"/>
    <d v="2025-02-25T00:00:00"/>
    <x v="1"/>
    <x v="1"/>
    <x v="0"/>
    <x v="0"/>
    <x v="9"/>
    <x v="1"/>
    <x v="8"/>
    <x v="1"/>
  </r>
  <r>
    <x v="1421"/>
    <x v="12"/>
    <x v="13"/>
    <n v="38.200000000000003"/>
    <x v="1167"/>
    <x v="53"/>
    <d v="2025-02-27T00:00:00"/>
    <x v="2"/>
    <x v="0"/>
    <x v="1"/>
    <x v="0"/>
    <x v="9"/>
    <x v="5"/>
    <x v="8"/>
    <x v="2"/>
  </r>
  <r>
    <x v="1422"/>
    <x v="8"/>
    <x v="4"/>
    <n v="17.600000000000001"/>
    <x v="1168"/>
    <x v="53"/>
    <d v="2025-02-24T00:00:00"/>
    <x v="2"/>
    <x v="2"/>
    <x v="1"/>
    <x v="0"/>
    <x v="9"/>
    <x v="3"/>
    <x v="8"/>
    <x v="2"/>
  </r>
  <r>
    <x v="1423"/>
    <x v="10"/>
    <x v="2"/>
    <n v="74.599999999999994"/>
    <x v="1169"/>
    <x v="53"/>
    <d v="2025-02-23T00:00:00"/>
    <x v="2"/>
    <x v="2"/>
    <x v="0"/>
    <x v="0"/>
    <x v="11"/>
    <x v="7"/>
    <x v="8"/>
    <x v="2"/>
  </r>
  <r>
    <x v="1424"/>
    <x v="16"/>
    <x v="20"/>
    <n v="72.599999999999994"/>
    <x v="1170"/>
    <x v="53"/>
    <d v="2025-02-23T00:00:00"/>
    <x v="0"/>
    <x v="1"/>
    <x v="1"/>
    <x v="0"/>
    <x v="11"/>
    <x v="7"/>
    <x v="8"/>
    <x v="0"/>
  </r>
  <r>
    <x v="1425"/>
    <x v="7"/>
    <x v="0"/>
    <n v="62.3"/>
    <x v="1030"/>
    <x v="53"/>
    <d v="2025-02-24T00:00:00"/>
    <x v="2"/>
    <x v="1"/>
    <x v="0"/>
    <x v="0"/>
    <x v="11"/>
    <x v="3"/>
    <x v="8"/>
    <x v="2"/>
  </r>
  <r>
    <x v="1426"/>
    <x v="3"/>
    <x v="2"/>
    <n v="33.799999999999997"/>
    <x v="1171"/>
    <x v="53"/>
    <d v="2025-02-25T00:00:00"/>
    <x v="1"/>
    <x v="0"/>
    <x v="2"/>
    <x v="0"/>
    <x v="20"/>
    <x v="1"/>
    <x v="8"/>
    <x v="1"/>
  </r>
  <r>
    <x v="1427"/>
    <x v="9"/>
    <x v="0"/>
    <n v="85.7"/>
    <x v="1172"/>
    <x v="53"/>
    <d v="2025-02-26T00:00:00"/>
    <x v="1"/>
    <x v="3"/>
    <x v="1"/>
    <x v="0"/>
    <x v="21"/>
    <x v="2"/>
    <x v="8"/>
    <x v="1"/>
  </r>
  <r>
    <x v="1428"/>
    <x v="6"/>
    <x v="1"/>
    <n v="92.1"/>
    <x v="1173"/>
    <x v="53"/>
    <d v="2025-02-25T00:00:00"/>
    <x v="1"/>
    <x v="1"/>
    <x v="0"/>
    <x v="0"/>
    <x v="21"/>
    <x v="1"/>
    <x v="8"/>
    <x v="1"/>
  </r>
  <r>
    <x v="1429"/>
    <x v="16"/>
    <x v="2"/>
    <n v="65.099999999999994"/>
    <x v="1174"/>
    <x v="53"/>
    <d v="2025-02-26T00:00:00"/>
    <x v="1"/>
    <x v="0"/>
    <x v="0"/>
    <x v="0"/>
    <x v="1"/>
    <x v="2"/>
    <x v="8"/>
    <x v="1"/>
  </r>
  <r>
    <x v="1430"/>
    <x v="9"/>
    <x v="3"/>
    <n v="20.3"/>
    <x v="1175"/>
    <x v="53"/>
    <d v="2025-02-24T00:00:00"/>
    <x v="2"/>
    <x v="2"/>
    <x v="2"/>
    <x v="0"/>
    <x v="2"/>
    <x v="3"/>
    <x v="8"/>
    <x v="2"/>
  </r>
  <r>
    <x v="1431"/>
    <x v="19"/>
    <x v="1"/>
    <n v="29.8"/>
    <x v="1176"/>
    <x v="53"/>
    <d v="2025-02-25T00:00:00"/>
    <x v="2"/>
    <x v="1"/>
    <x v="2"/>
    <x v="0"/>
    <x v="34"/>
    <x v="1"/>
    <x v="8"/>
    <x v="2"/>
  </r>
  <r>
    <x v="1432"/>
    <x v="0"/>
    <x v="1"/>
    <n v="24.2"/>
    <x v="655"/>
    <x v="53"/>
    <d v="2025-02-25T00:00:00"/>
    <x v="2"/>
    <x v="3"/>
    <x v="2"/>
    <x v="0"/>
    <x v="3"/>
    <x v="1"/>
    <x v="8"/>
    <x v="2"/>
  </r>
  <r>
    <x v="1433"/>
    <x v="3"/>
    <x v="0"/>
    <n v="57.3"/>
    <x v="1177"/>
    <x v="53"/>
    <d v="2025-02-25T00:00:00"/>
    <x v="1"/>
    <x v="0"/>
    <x v="0"/>
    <x v="0"/>
    <x v="3"/>
    <x v="1"/>
    <x v="8"/>
    <x v="1"/>
  </r>
  <r>
    <x v="1434"/>
    <x v="2"/>
    <x v="0"/>
    <n v="108.9"/>
    <x v="1178"/>
    <x v="53"/>
    <d v="2025-02-25T00:00:00"/>
    <x v="2"/>
    <x v="1"/>
    <x v="0"/>
    <x v="0"/>
    <x v="3"/>
    <x v="1"/>
    <x v="8"/>
    <x v="2"/>
  </r>
  <r>
    <x v="1435"/>
    <x v="7"/>
    <x v="9"/>
    <n v="50.7"/>
    <x v="103"/>
    <x v="53"/>
    <d v="2025-02-24T00:00:00"/>
    <x v="2"/>
    <x v="0"/>
    <x v="0"/>
    <x v="0"/>
    <x v="3"/>
    <x v="3"/>
    <x v="8"/>
    <x v="2"/>
  </r>
  <r>
    <x v="1436"/>
    <x v="7"/>
    <x v="11"/>
    <n v="66.099999999999994"/>
    <x v="1179"/>
    <x v="53"/>
    <d v="2025-03-09T00:00:00"/>
    <x v="2"/>
    <x v="1"/>
    <x v="0"/>
    <x v="0"/>
    <x v="3"/>
    <x v="12"/>
    <x v="8"/>
    <x v="2"/>
  </r>
  <r>
    <x v="1437"/>
    <x v="12"/>
    <x v="9"/>
    <n v="36.700000000000003"/>
    <x v="1180"/>
    <x v="53"/>
    <d v="2025-02-27T00:00:00"/>
    <x v="2"/>
    <x v="4"/>
    <x v="0"/>
    <x v="0"/>
    <x v="3"/>
    <x v="5"/>
    <x v="8"/>
    <x v="2"/>
  </r>
  <r>
    <x v="1438"/>
    <x v="8"/>
    <x v="14"/>
    <n v="19.3"/>
    <x v="1181"/>
    <x v="53"/>
    <d v="2025-02-25T00:00:00"/>
    <x v="1"/>
    <x v="0"/>
    <x v="0"/>
    <x v="0"/>
    <x v="43"/>
    <x v="1"/>
    <x v="8"/>
    <x v="1"/>
  </r>
  <r>
    <x v="1439"/>
    <x v="8"/>
    <x v="12"/>
    <n v="20.7"/>
    <x v="1182"/>
    <x v="53"/>
    <d v="2025-02-24T00:00:00"/>
    <x v="1"/>
    <x v="1"/>
    <x v="2"/>
    <x v="0"/>
    <x v="6"/>
    <x v="3"/>
    <x v="8"/>
    <x v="1"/>
  </r>
  <r>
    <x v="1440"/>
    <x v="5"/>
    <x v="2"/>
    <n v="54.7"/>
    <x v="1183"/>
    <x v="53"/>
    <d v="2025-02-23T00:00:00"/>
    <x v="3"/>
    <x v="1"/>
    <x v="4"/>
    <x v="0"/>
    <x v="6"/>
    <x v="7"/>
    <x v="8"/>
    <x v="3"/>
  </r>
  <r>
    <x v="1441"/>
    <x v="4"/>
    <x v="1"/>
    <n v="19.8"/>
    <x v="341"/>
    <x v="53"/>
    <d v="2025-02-27T00:00:00"/>
    <x v="2"/>
    <x v="4"/>
    <x v="1"/>
    <x v="0"/>
    <x v="8"/>
    <x v="5"/>
    <x v="8"/>
    <x v="2"/>
  </r>
  <r>
    <x v="1442"/>
    <x v="7"/>
    <x v="0"/>
    <n v="41.1"/>
    <x v="1184"/>
    <x v="53"/>
    <d v="2025-02-25T00:00:00"/>
    <x v="2"/>
    <x v="0"/>
    <x v="2"/>
    <x v="0"/>
    <x v="8"/>
    <x v="1"/>
    <x v="8"/>
    <x v="2"/>
  </r>
  <r>
    <x v="1443"/>
    <x v="11"/>
    <x v="8"/>
    <n v="43.5"/>
    <x v="1185"/>
    <x v="53"/>
    <d v="2025-02-27T00:00:00"/>
    <x v="2"/>
    <x v="3"/>
    <x v="0"/>
    <x v="0"/>
    <x v="8"/>
    <x v="5"/>
    <x v="8"/>
    <x v="2"/>
  </r>
  <r>
    <x v="1444"/>
    <x v="8"/>
    <x v="21"/>
    <n v="19"/>
    <x v="751"/>
    <x v="53"/>
    <d v="2025-02-24T00:00:00"/>
    <x v="1"/>
    <x v="0"/>
    <x v="0"/>
    <x v="0"/>
    <x v="26"/>
    <x v="3"/>
    <x v="8"/>
    <x v="1"/>
  </r>
  <r>
    <x v="1445"/>
    <x v="2"/>
    <x v="12"/>
    <n v="51.4"/>
    <x v="1186"/>
    <x v="53"/>
    <d v="2025-02-23T00:00:00"/>
    <x v="2"/>
    <x v="0"/>
    <x v="0"/>
    <x v="0"/>
    <x v="26"/>
    <x v="7"/>
    <x v="8"/>
    <x v="2"/>
  </r>
  <r>
    <x v="1446"/>
    <x v="10"/>
    <x v="1"/>
    <n v="39.799999999999997"/>
    <x v="1187"/>
    <x v="53"/>
    <d v="2025-02-26T00:00:00"/>
    <x v="1"/>
    <x v="3"/>
    <x v="1"/>
    <x v="0"/>
    <x v="13"/>
    <x v="2"/>
    <x v="8"/>
    <x v="1"/>
  </r>
  <r>
    <x v="1447"/>
    <x v="6"/>
    <x v="9"/>
    <n v="61"/>
    <x v="1188"/>
    <x v="53"/>
    <d v="2025-02-24T00:00:00"/>
    <x v="0"/>
    <x v="0"/>
    <x v="2"/>
    <x v="0"/>
    <x v="21"/>
    <x v="3"/>
    <x v="8"/>
    <x v="0"/>
  </r>
  <r>
    <x v="1448"/>
    <x v="8"/>
    <x v="5"/>
    <n v="15.1"/>
    <x v="1189"/>
    <x v="54"/>
    <d v="2025-03-01T00:00:00"/>
    <x v="1"/>
    <x v="3"/>
    <x v="2"/>
    <x v="0"/>
    <x v="2"/>
    <x v="0"/>
    <x v="8"/>
    <x v="1"/>
  </r>
  <r>
    <x v="1449"/>
    <x v="1"/>
    <x v="3"/>
    <n v="71.3"/>
    <x v="1190"/>
    <x v="54"/>
    <d v="2025-02-25T00:00:00"/>
    <x v="1"/>
    <x v="4"/>
    <x v="0"/>
    <x v="0"/>
    <x v="3"/>
    <x v="3"/>
    <x v="8"/>
    <x v="1"/>
  </r>
  <r>
    <x v="1450"/>
    <x v="10"/>
    <x v="0"/>
    <n v="25.8"/>
    <x v="1191"/>
    <x v="54"/>
    <d v="2025-02-26T00:00:00"/>
    <x v="2"/>
    <x v="0"/>
    <x v="2"/>
    <x v="0"/>
    <x v="3"/>
    <x v="1"/>
    <x v="8"/>
    <x v="2"/>
  </r>
  <r>
    <x v="1451"/>
    <x v="8"/>
    <x v="9"/>
    <n v="39.6"/>
    <x v="1192"/>
    <x v="54"/>
    <d v="2025-02-26T00:00:00"/>
    <x v="1"/>
    <x v="1"/>
    <x v="2"/>
    <x v="0"/>
    <x v="3"/>
    <x v="1"/>
    <x v="8"/>
    <x v="1"/>
  </r>
  <r>
    <x v="1452"/>
    <x v="5"/>
    <x v="1"/>
    <n v="64"/>
    <x v="1193"/>
    <x v="54"/>
    <d v="2025-02-24T00:00:00"/>
    <x v="1"/>
    <x v="1"/>
    <x v="1"/>
    <x v="0"/>
    <x v="3"/>
    <x v="7"/>
    <x v="8"/>
    <x v="1"/>
  </r>
  <r>
    <x v="1453"/>
    <x v="8"/>
    <x v="1"/>
    <n v="30.6"/>
    <x v="1"/>
    <x v="54"/>
    <d v="2025-02-27T00:00:00"/>
    <x v="1"/>
    <x v="0"/>
    <x v="2"/>
    <x v="0"/>
    <x v="3"/>
    <x v="2"/>
    <x v="8"/>
    <x v="1"/>
  </r>
  <r>
    <x v="1454"/>
    <x v="8"/>
    <x v="1"/>
    <n v="21.3"/>
    <x v="440"/>
    <x v="54"/>
    <d v="2025-02-25T00:00:00"/>
    <x v="1"/>
    <x v="0"/>
    <x v="1"/>
    <x v="0"/>
    <x v="3"/>
    <x v="3"/>
    <x v="8"/>
    <x v="1"/>
  </r>
  <r>
    <x v="1455"/>
    <x v="7"/>
    <x v="0"/>
    <n v="40.799999999999997"/>
    <x v="803"/>
    <x v="54"/>
    <d v="2025-02-26T00:00:00"/>
    <x v="2"/>
    <x v="4"/>
    <x v="0"/>
    <x v="0"/>
    <x v="3"/>
    <x v="1"/>
    <x v="8"/>
    <x v="2"/>
  </r>
  <r>
    <x v="1456"/>
    <x v="9"/>
    <x v="12"/>
    <n v="27.7"/>
    <x v="806"/>
    <x v="54"/>
    <d v="2025-02-25T00:00:00"/>
    <x v="2"/>
    <x v="0"/>
    <x v="1"/>
    <x v="0"/>
    <x v="3"/>
    <x v="3"/>
    <x v="8"/>
    <x v="2"/>
  </r>
  <r>
    <x v="1457"/>
    <x v="6"/>
    <x v="1"/>
    <n v="64.599999999999994"/>
    <x v="769"/>
    <x v="54"/>
    <d v="2025-02-25T00:00:00"/>
    <x v="1"/>
    <x v="0"/>
    <x v="1"/>
    <x v="0"/>
    <x v="3"/>
    <x v="3"/>
    <x v="8"/>
    <x v="1"/>
  </r>
  <r>
    <x v="1458"/>
    <x v="6"/>
    <x v="27"/>
    <n v="91.1"/>
    <x v="1194"/>
    <x v="54"/>
    <d v="2025-02-25T00:00:00"/>
    <x v="2"/>
    <x v="1"/>
    <x v="2"/>
    <x v="0"/>
    <x v="3"/>
    <x v="3"/>
    <x v="8"/>
    <x v="2"/>
  </r>
  <r>
    <x v="1459"/>
    <x v="1"/>
    <x v="0"/>
    <n v="39.5"/>
    <x v="736"/>
    <x v="54"/>
    <d v="2025-03-04T00:00:00"/>
    <x v="2"/>
    <x v="0"/>
    <x v="0"/>
    <x v="0"/>
    <x v="3"/>
    <x v="9"/>
    <x v="8"/>
    <x v="2"/>
  </r>
  <r>
    <x v="1460"/>
    <x v="9"/>
    <x v="1"/>
    <n v="21.8"/>
    <x v="1195"/>
    <x v="54"/>
    <d v="2025-02-28T00:00:00"/>
    <x v="1"/>
    <x v="4"/>
    <x v="2"/>
    <x v="0"/>
    <x v="3"/>
    <x v="5"/>
    <x v="8"/>
    <x v="1"/>
  </r>
  <r>
    <x v="1461"/>
    <x v="8"/>
    <x v="1"/>
    <n v="51"/>
    <x v="1062"/>
    <x v="54"/>
    <d v="2025-02-27T00:00:00"/>
    <x v="1"/>
    <x v="3"/>
    <x v="2"/>
    <x v="0"/>
    <x v="3"/>
    <x v="2"/>
    <x v="8"/>
    <x v="1"/>
  </r>
  <r>
    <x v="1462"/>
    <x v="2"/>
    <x v="0"/>
    <n v="92.6"/>
    <x v="1196"/>
    <x v="54"/>
    <d v="2025-02-27T00:00:00"/>
    <x v="2"/>
    <x v="0"/>
    <x v="2"/>
    <x v="0"/>
    <x v="35"/>
    <x v="2"/>
    <x v="8"/>
    <x v="2"/>
  </r>
  <r>
    <x v="1463"/>
    <x v="9"/>
    <x v="1"/>
    <n v="31.1"/>
    <x v="1197"/>
    <x v="54"/>
    <d v="2025-03-01T00:00:00"/>
    <x v="0"/>
    <x v="1"/>
    <x v="3"/>
    <x v="0"/>
    <x v="23"/>
    <x v="0"/>
    <x v="8"/>
    <x v="0"/>
  </r>
  <r>
    <x v="1464"/>
    <x v="5"/>
    <x v="2"/>
    <n v="56.4"/>
    <x v="362"/>
    <x v="54"/>
    <d v="2025-02-25T00:00:00"/>
    <x v="0"/>
    <x v="1"/>
    <x v="0"/>
    <x v="0"/>
    <x v="6"/>
    <x v="3"/>
    <x v="8"/>
    <x v="0"/>
  </r>
  <r>
    <x v="1465"/>
    <x v="9"/>
    <x v="0"/>
    <n v="41.9"/>
    <x v="1151"/>
    <x v="54"/>
    <d v="2025-02-24T00:00:00"/>
    <x v="1"/>
    <x v="1"/>
    <x v="0"/>
    <x v="0"/>
    <x v="6"/>
    <x v="7"/>
    <x v="8"/>
    <x v="1"/>
  </r>
  <r>
    <x v="1466"/>
    <x v="10"/>
    <x v="3"/>
    <n v="45.9"/>
    <x v="1198"/>
    <x v="54"/>
    <d v="2025-02-25T00:00:00"/>
    <x v="1"/>
    <x v="3"/>
    <x v="2"/>
    <x v="0"/>
    <x v="8"/>
    <x v="3"/>
    <x v="8"/>
    <x v="1"/>
  </r>
  <r>
    <x v="1467"/>
    <x v="14"/>
    <x v="11"/>
    <n v="24.4"/>
    <x v="1199"/>
    <x v="54"/>
    <d v="2025-02-28T00:00:00"/>
    <x v="1"/>
    <x v="3"/>
    <x v="2"/>
    <x v="0"/>
    <x v="8"/>
    <x v="5"/>
    <x v="8"/>
    <x v="1"/>
  </r>
  <r>
    <x v="1468"/>
    <x v="8"/>
    <x v="0"/>
    <n v="18.2"/>
    <x v="1200"/>
    <x v="54"/>
    <d v="2025-02-25T00:00:00"/>
    <x v="2"/>
    <x v="2"/>
    <x v="2"/>
    <x v="0"/>
    <x v="8"/>
    <x v="3"/>
    <x v="8"/>
    <x v="2"/>
  </r>
  <r>
    <x v="1469"/>
    <x v="8"/>
    <x v="12"/>
    <n v="51.2"/>
    <x v="403"/>
    <x v="54"/>
    <d v="2025-02-25T00:00:00"/>
    <x v="2"/>
    <x v="0"/>
    <x v="0"/>
    <x v="0"/>
    <x v="8"/>
    <x v="3"/>
    <x v="8"/>
    <x v="2"/>
  </r>
  <r>
    <x v="1470"/>
    <x v="6"/>
    <x v="0"/>
    <n v="59.7"/>
    <x v="1201"/>
    <x v="54"/>
    <d v="2025-02-27T00:00:00"/>
    <x v="1"/>
    <x v="0"/>
    <x v="2"/>
    <x v="0"/>
    <x v="8"/>
    <x v="2"/>
    <x v="8"/>
    <x v="1"/>
  </r>
  <r>
    <x v="1471"/>
    <x v="4"/>
    <x v="1"/>
    <n v="33.6"/>
    <x v="863"/>
    <x v="54"/>
    <d v="2025-02-26T00:00:00"/>
    <x v="2"/>
    <x v="0"/>
    <x v="0"/>
    <x v="0"/>
    <x v="17"/>
    <x v="1"/>
    <x v="8"/>
    <x v="2"/>
  </r>
  <r>
    <x v="1472"/>
    <x v="12"/>
    <x v="0"/>
    <n v="90.4"/>
    <x v="786"/>
    <x v="54"/>
    <d v="2025-02-28T00:00:00"/>
    <x v="1"/>
    <x v="1"/>
    <x v="2"/>
    <x v="0"/>
    <x v="10"/>
    <x v="5"/>
    <x v="8"/>
    <x v="1"/>
  </r>
  <r>
    <x v="1473"/>
    <x v="11"/>
    <x v="2"/>
    <n v="70.3"/>
    <x v="1202"/>
    <x v="54"/>
    <d v="2025-02-24T00:00:00"/>
    <x v="1"/>
    <x v="1"/>
    <x v="2"/>
    <x v="0"/>
    <x v="11"/>
    <x v="7"/>
    <x v="8"/>
    <x v="1"/>
  </r>
  <r>
    <x v="1474"/>
    <x v="4"/>
    <x v="1"/>
    <n v="20.5"/>
    <x v="783"/>
    <x v="54"/>
    <d v="2025-02-27T00:00:00"/>
    <x v="2"/>
    <x v="0"/>
    <x v="1"/>
    <x v="0"/>
    <x v="11"/>
    <x v="2"/>
    <x v="8"/>
    <x v="2"/>
  </r>
  <r>
    <x v="1475"/>
    <x v="5"/>
    <x v="5"/>
    <n v="37.6"/>
    <x v="1203"/>
    <x v="54"/>
    <d v="2025-02-25T00:00:00"/>
    <x v="1"/>
    <x v="0"/>
    <x v="0"/>
    <x v="0"/>
    <x v="38"/>
    <x v="3"/>
    <x v="8"/>
    <x v="1"/>
  </r>
  <r>
    <x v="1476"/>
    <x v="5"/>
    <x v="12"/>
    <n v="61.5"/>
    <x v="1204"/>
    <x v="54"/>
    <d v="2025-03-03T00:00:00"/>
    <x v="2"/>
    <x v="1"/>
    <x v="4"/>
    <x v="0"/>
    <x v="13"/>
    <x v="6"/>
    <x v="8"/>
    <x v="2"/>
  </r>
  <r>
    <x v="1477"/>
    <x v="9"/>
    <x v="0"/>
    <n v="33.5"/>
    <x v="253"/>
    <x v="55"/>
    <d v="2025-03-01T00:00:00"/>
    <x v="1"/>
    <x v="4"/>
    <x v="1"/>
    <x v="0"/>
    <x v="21"/>
    <x v="5"/>
    <x v="8"/>
    <x v="1"/>
  </r>
  <r>
    <x v="1478"/>
    <x v="4"/>
    <x v="2"/>
    <n v="29.3"/>
    <x v="1205"/>
    <x v="55"/>
    <d v="2025-02-27T00:00:00"/>
    <x v="2"/>
    <x v="1"/>
    <x v="2"/>
    <x v="0"/>
    <x v="1"/>
    <x v="1"/>
    <x v="8"/>
    <x v="2"/>
  </r>
  <r>
    <x v="1479"/>
    <x v="2"/>
    <x v="1"/>
    <n v="125.9"/>
    <x v="1206"/>
    <x v="55"/>
    <d v="2025-03-02T00:00:00"/>
    <x v="2"/>
    <x v="4"/>
    <x v="1"/>
    <x v="0"/>
    <x v="1"/>
    <x v="0"/>
    <x v="8"/>
    <x v="2"/>
  </r>
  <r>
    <x v="1480"/>
    <x v="5"/>
    <x v="9"/>
    <n v="29.3"/>
    <x v="1207"/>
    <x v="55"/>
    <d v="2025-02-25T00:00:00"/>
    <x v="1"/>
    <x v="2"/>
    <x v="0"/>
    <x v="0"/>
    <x v="44"/>
    <x v="7"/>
    <x v="8"/>
    <x v="1"/>
  </r>
  <r>
    <x v="1481"/>
    <x v="9"/>
    <x v="0"/>
    <n v="37.799999999999997"/>
    <x v="463"/>
    <x v="55"/>
    <d v="2025-02-28T00:00:00"/>
    <x v="2"/>
    <x v="0"/>
    <x v="2"/>
    <x v="0"/>
    <x v="3"/>
    <x v="2"/>
    <x v="8"/>
    <x v="2"/>
  </r>
  <r>
    <x v="1482"/>
    <x v="0"/>
    <x v="12"/>
    <n v="31.7"/>
    <x v="1208"/>
    <x v="55"/>
    <d v="2025-02-26T00:00:00"/>
    <x v="1"/>
    <x v="2"/>
    <x v="2"/>
    <x v="0"/>
    <x v="3"/>
    <x v="3"/>
    <x v="8"/>
    <x v="1"/>
  </r>
  <r>
    <x v="1483"/>
    <x v="8"/>
    <x v="9"/>
    <n v="26.3"/>
    <x v="1209"/>
    <x v="55"/>
    <d v="2025-02-26T00:00:00"/>
    <x v="2"/>
    <x v="3"/>
    <x v="2"/>
    <x v="0"/>
    <x v="3"/>
    <x v="3"/>
    <x v="8"/>
    <x v="2"/>
  </r>
  <r>
    <x v="1484"/>
    <x v="8"/>
    <x v="2"/>
    <n v="23.1"/>
    <x v="59"/>
    <x v="55"/>
    <d v="2025-02-26T00:00:00"/>
    <x v="3"/>
    <x v="2"/>
    <x v="1"/>
    <x v="0"/>
    <x v="3"/>
    <x v="3"/>
    <x v="8"/>
    <x v="3"/>
  </r>
  <r>
    <x v="1485"/>
    <x v="4"/>
    <x v="0"/>
    <n v="22.3"/>
    <x v="968"/>
    <x v="55"/>
    <d v="2025-02-27T00:00:00"/>
    <x v="2"/>
    <x v="2"/>
    <x v="0"/>
    <x v="0"/>
    <x v="3"/>
    <x v="1"/>
    <x v="8"/>
    <x v="2"/>
  </r>
  <r>
    <x v="1486"/>
    <x v="12"/>
    <x v="1"/>
    <n v="99.5"/>
    <x v="1210"/>
    <x v="55"/>
    <d v="2025-02-27T00:00:00"/>
    <x v="2"/>
    <x v="2"/>
    <x v="0"/>
    <x v="0"/>
    <x v="3"/>
    <x v="1"/>
    <x v="8"/>
    <x v="2"/>
  </r>
  <r>
    <x v="1487"/>
    <x v="12"/>
    <x v="12"/>
    <n v="47.4"/>
    <x v="455"/>
    <x v="55"/>
    <d v="2025-02-28T00:00:00"/>
    <x v="2"/>
    <x v="1"/>
    <x v="0"/>
    <x v="0"/>
    <x v="3"/>
    <x v="2"/>
    <x v="8"/>
    <x v="2"/>
  </r>
  <r>
    <x v="1488"/>
    <x v="0"/>
    <x v="5"/>
    <n v="37.5"/>
    <x v="1211"/>
    <x v="55"/>
    <d v="2025-02-27T00:00:00"/>
    <x v="2"/>
    <x v="0"/>
    <x v="3"/>
    <x v="0"/>
    <x v="3"/>
    <x v="1"/>
    <x v="8"/>
    <x v="2"/>
  </r>
  <r>
    <x v="1489"/>
    <x v="10"/>
    <x v="0"/>
    <n v="45.1"/>
    <x v="1212"/>
    <x v="55"/>
    <d v="2025-03-02T00:00:00"/>
    <x v="1"/>
    <x v="3"/>
    <x v="2"/>
    <x v="0"/>
    <x v="24"/>
    <x v="0"/>
    <x v="8"/>
    <x v="1"/>
  </r>
  <r>
    <x v="1490"/>
    <x v="5"/>
    <x v="7"/>
    <n v="34.4"/>
    <x v="1213"/>
    <x v="55"/>
    <d v="2025-02-28T00:00:00"/>
    <x v="1"/>
    <x v="2"/>
    <x v="0"/>
    <x v="0"/>
    <x v="16"/>
    <x v="2"/>
    <x v="8"/>
    <x v="1"/>
  </r>
  <r>
    <x v="1491"/>
    <x v="4"/>
    <x v="1"/>
    <n v="38"/>
    <x v="998"/>
    <x v="55"/>
    <d v="2025-02-27T00:00:00"/>
    <x v="2"/>
    <x v="1"/>
    <x v="0"/>
    <x v="0"/>
    <x v="5"/>
    <x v="1"/>
    <x v="8"/>
    <x v="2"/>
  </r>
  <r>
    <x v="1492"/>
    <x v="3"/>
    <x v="21"/>
    <n v="32.4"/>
    <x v="1214"/>
    <x v="55"/>
    <d v="2025-02-28T00:00:00"/>
    <x v="1"/>
    <x v="4"/>
    <x v="0"/>
    <x v="0"/>
    <x v="6"/>
    <x v="2"/>
    <x v="8"/>
    <x v="1"/>
  </r>
  <r>
    <x v="1493"/>
    <x v="6"/>
    <x v="2"/>
    <n v="40.9"/>
    <x v="544"/>
    <x v="55"/>
    <d v="2025-02-25T00:00:00"/>
    <x v="0"/>
    <x v="1"/>
    <x v="0"/>
    <x v="0"/>
    <x v="8"/>
    <x v="7"/>
    <x v="8"/>
    <x v="0"/>
  </r>
  <r>
    <x v="1494"/>
    <x v="7"/>
    <x v="3"/>
    <n v="76.2"/>
    <x v="1215"/>
    <x v="55"/>
    <d v="2025-02-27T00:00:00"/>
    <x v="2"/>
    <x v="2"/>
    <x v="1"/>
    <x v="0"/>
    <x v="8"/>
    <x v="1"/>
    <x v="8"/>
    <x v="2"/>
  </r>
  <r>
    <x v="1495"/>
    <x v="2"/>
    <x v="0"/>
    <n v="85.6"/>
    <x v="1216"/>
    <x v="55"/>
    <d v="2025-02-27T00:00:00"/>
    <x v="1"/>
    <x v="2"/>
    <x v="0"/>
    <x v="0"/>
    <x v="8"/>
    <x v="1"/>
    <x v="8"/>
    <x v="1"/>
  </r>
  <r>
    <x v="1496"/>
    <x v="4"/>
    <x v="12"/>
    <n v="25"/>
    <x v="1217"/>
    <x v="55"/>
    <d v="2025-02-27T00:00:00"/>
    <x v="2"/>
    <x v="2"/>
    <x v="2"/>
    <x v="0"/>
    <x v="8"/>
    <x v="1"/>
    <x v="8"/>
    <x v="2"/>
  </r>
  <r>
    <x v="1497"/>
    <x v="2"/>
    <x v="9"/>
    <n v="150.69999999999999"/>
    <x v="1218"/>
    <x v="55"/>
    <d v="2025-02-26T00:00:00"/>
    <x v="0"/>
    <x v="0"/>
    <x v="2"/>
    <x v="0"/>
    <x v="8"/>
    <x v="3"/>
    <x v="8"/>
    <x v="0"/>
  </r>
  <r>
    <x v="1498"/>
    <x v="8"/>
    <x v="0"/>
    <n v="19.600000000000001"/>
    <x v="1219"/>
    <x v="55"/>
    <d v="2025-02-26T00:00:00"/>
    <x v="1"/>
    <x v="1"/>
    <x v="4"/>
    <x v="0"/>
    <x v="8"/>
    <x v="3"/>
    <x v="8"/>
    <x v="1"/>
  </r>
  <r>
    <x v="1499"/>
    <x v="13"/>
    <x v="1"/>
    <n v="37.5"/>
    <x v="611"/>
    <x v="55"/>
    <d v="2025-02-28T00:00:00"/>
    <x v="2"/>
    <x v="1"/>
    <x v="2"/>
    <x v="0"/>
    <x v="17"/>
    <x v="2"/>
    <x v="8"/>
    <x v="2"/>
  </r>
  <r>
    <x v="1500"/>
    <x v="9"/>
    <x v="2"/>
    <n v="51.9"/>
    <x v="515"/>
    <x v="55"/>
    <d v="2025-03-03T00:00:00"/>
    <x v="2"/>
    <x v="0"/>
    <x v="4"/>
    <x v="0"/>
    <x v="11"/>
    <x v="4"/>
    <x v="8"/>
    <x v="2"/>
  </r>
  <r>
    <x v="1501"/>
    <x v="1"/>
    <x v="1"/>
    <n v="30.9"/>
    <x v="546"/>
    <x v="55"/>
    <d v="2025-02-27T00:00:00"/>
    <x v="2"/>
    <x v="1"/>
    <x v="0"/>
    <x v="0"/>
    <x v="18"/>
    <x v="1"/>
    <x v="8"/>
    <x v="2"/>
  </r>
  <r>
    <x v="1502"/>
    <x v="4"/>
    <x v="2"/>
    <n v="21.2"/>
    <x v="1220"/>
    <x v="55"/>
    <d v="2025-02-28T00:00:00"/>
    <x v="2"/>
    <x v="1"/>
    <x v="0"/>
    <x v="0"/>
    <x v="19"/>
    <x v="2"/>
    <x v="8"/>
    <x v="2"/>
  </r>
  <r>
    <x v="1503"/>
    <x v="13"/>
    <x v="14"/>
    <n v="17.5"/>
    <x v="1221"/>
    <x v="55"/>
    <d v="2025-02-26T00:00:00"/>
    <x v="1"/>
    <x v="1"/>
    <x v="1"/>
    <x v="0"/>
    <x v="13"/>
    <x v="3"/>
    <x v="8"/>
    <x v="1"/>
  </r>
  <r>
    <x v="1504"/>
    <x v="12"/>
    <x v="1"/>
    <n v="53.8"/>
    <x v="799"/>
    <x v="55"/>
    <d v="2025-03-02T00:00:00"/>
    <x v="2"/>
    <x v="0"/>
    <x v="2"/>
    <x v="0"/>
    <x v="21"/>
    <x v="0"/>
    <x v="8"/>
    <x v="2"/>
  </r>
  <r>
    <x v="1505"/>
    <x v="19"/>
    <x v="1"/>
    <n v="17"/>
    <x v="1222"/>
    <x v="55"/>
    <d v="2025-02-26T00:00:00"/>
    <x v="1"/>
    <x v="3"/>
    <x v="0"/>
    <x v="0"/>
    <x v="21"/>
    <x v="3"/>
    <x v="8"/>
    <x v="1"/>
  </r>
  <r>
    <x v="1506"/>
    <x v="6"/>
    <x v="0"/>
    <n v="103.2"/>
    <x v="1223"/>
    <x v="55"/>
    <d v="2025-03-05T00:00:00"/>
    <x v="1"/>
    <x v="2"/>
    <x v="1"/>
    <x v="0"/>
    <x v="1"/>
    <x v="9"/>
    <x v="8"/>
    <x v="1"/>
  </r>
  <r>
    <x v="1507"/>
    <x v="6"/>
    <x v="12"/>
    <n v="70.3"/>
    <x v="552"/>
    <x v="55"/>
    <d v="2025-02-26T00:00:00"/>
    <x v="1"/>
    <x v="0"/>
    <x v="0"/>
    <x v="0"/>
    <x v="3"/>
    <x v="3"/>
    <x v="8"/>
    <x v="1"/>
  </r>
  <r>
    <x v="1508"/>
    <x v="2"/>
    <x v="1"/>
    <n v="73.8"/>
    <x v="1224"/>
    <x v="55"/>
    <d v="2025-02-25T00:00:00"/>
    <x v="1"/>
    <x v="3"/>
    <x v="2"/>
    <x v="0"/>
    <x v="3"/>
    <x v="7"/>
    <x v="8"/>
    <x v="1"/>
  </r>
  <r>
    <x v="1509"/>
    <x v="1"/>
    <x v="4"/>
    <n v="67.7"/>
    <x v="1225"/>
    <x v="55"/>
    <d v="2025-03-01T00:00:00"/>
    <x v="1"/>
    <x v="1"/>
    <x v="1"/>
    <x v="0"/>
    <x v="3"/>
    <x v="5"/>
    <x v="8"/>
    <x v="1"/>
  </r>
  <r>
    <x v="1510"/>
    <x v="13"/>
    <x v="3"/>
    <n v="43.8"/>
    <x v="1226"/>
    <x v="55"/>
    <d v="2025-02-27T00:00:00"/>
    <x v="1"/>
    <x v="1"/>
    <x v="0"/>
    <x v="0"/>
    <x v="3"/>
    <x v="1"/>
    <x v="8"/>
    <x v="1"/>
  </r>
  <r>
    <x v="1511"/>
    <x v="17"/>
    <x v="13"/>
    <n v="71.900000000000006"/>
    <x v="1227"/>
    <x v="55"/>
    <d v="2025-02-26T00:00:00"/>
    <x v="2"/>
    <x v="2"/>
    <x v="0"/>
    <x v="0"/>
    <x v="3"/>
    <x v="3"/>
    <x v="8"/>
    <x v="2"/>
  </r>
  <r>
    <x v="1512"/>
    <x v="8"/>
    <x v="1"/>
    <n v="26.3"/>
    <x v="1228"/>
    <x v="56"/>
    <d v="2025-02-28T00:00:00"/>
    <x v="2"/>
    <x v="0"/>
    <x v="1"/>
    <x v="0"/>
    <x v="3"/>
    <x v="1"/>
    <x v="8"/>
    <x v="2"/>
  </r>
  <r>
    <x v="1513"/>
    <x v="6"/>
    <x v="12"/>
    <n v="52.6"/>
    <x v="138"/>
    <x v="56"/>
    <d v="2025-02-28T00:00:00"/>
    <x v="2"/>
    <x v="2"/>
    <x v="1"/>
    <x v="0"/>
    <x v="3"/>
    <x v="1"/>
    <x v="8"/>
    <x v="2"/>
  </r>
  <r>
    <x v="1514"/>
    <x v="10"/>
    <x v="0"/>
    <n v="32.700000000000003"/>
    <x v="1229"/>
    <x v="56"/>
    <d v="2025-03-05T00:00:00"/>
    <x v="2"/>
    <x v="0"/>
    <x v="2"/>
    <x v="0"/>
    <x v="3"/>
    <x v="6"/>
    <x v="8"/>
    <x v="2"/>
  </r>
  <r>
    <x v="1515"/>
    <x v="5"/>
    <x v="12"/>
    <n v="38.9"/>
    <x v="1230"/>
    <x v="56"/>
    <d v="2025-02-27T00:00:00"/>
    <x v="2"/>
    <x v="0"/>
    <x v="0"/>
    <x v="0"/>
    <x v="3"/>
    <x v="3"/>
    <x v="8"/>
    <x v="2"/>
  </r>
  <r>
    <x v="1516"/>
    <x v="9"/>
    <x v="9"/>
    <n v="35"/>
    <x v="25"/>
    <x v="56"/>
    <d v="2025-02-28T00:00:00"/>
    <x v="1"/>
    <x v="0"/>
    <x v="0"/>
    <x v="0"/>
    <x v="3"/>
    <x v="1"/>
    <x v="8"/>
    <x v="1"/>
  </r>
  <r>
    <x v="1517"/>
    <x v="2"/>
    <x v="1"/>
    <n v="121"/>
    <x v="1231"/>
    <x v="56"/>
    <d v="2025-02-27T00:00:00"/>
    <x v="2"/>
    <x v="1"/>
    <x v="1"/>
    <x v="0"/>
    <x v="3"/>
    <x v="3"/>
    <x v="8"/>
    <x v="2"/>
  </r>
  <r>
    <x v="1518"/>
    <x v="6"/>
    <x v="2"/>
    <n v="65.099999999999994"/>
    <x v="1174"/>
    <x v="56"/>
    <d v="2025-03-02T00:00:00"/>
    <x v="1"/>
    <x v="2"/>
    <x v="0"/>
    <x v="0"/>
    <x v="36"/>
    <x v="5"/>
    <x v="8"/>
    <x v="1"/>
  </r>
  <r>
    <x v="1519"/>
    <x v="1"/>
    <x v="38"/>
    <n v="63.8"/>
    <x v="1232"/>
    <x v="56"/>
    <d v="2025-02-28T00:00:00"/>
    <x v="2"/>
    <x v="0"/>
    <x v="0"/>
    <x v="0"/>
    <x v="8"/>
    <x v="1"/>
    <x v="8"/>
    <x v="2"/>
  </r>
  <r>
    <x v="1520"/>
    <x v="7"/>
    <x v="0"/>
    <n v="77.7"/>
    <x v="1233"/>
    <x v="56"/>
    <d v="2025-02-28T00:00:00"/>
    <x v="1"/>
    <x v="0"/>
    <x v="0"/>
    <x v="0"/>
    <x v="8"/>
    <x v="1"/>
    <x v="8"/>
    <x v="1"/>
  </r>
  <r>
    <x v="1521"/>
    <x v="5"/>
    <x v="12"/>
    <n v="60.3"/>
    <x v="1234"/>
    <x v="56"/>
    <d v="2025-02-26T00:00:00"/>
    <x v="1"/>
    <x v="0"/>
    <x v="2"/>
    <x v="0"/>
    <x v="8"/>
    <x v="7"/>
    <x v="8"/>
    <x v="1"/>
  </r>
  <r>
    <x v="1522"/>
    <x v="5"/>
    <x v="1"/>
    <n v="124.1"/>
    <x v="1235"/>
    <x v="56"/>
    <d v="2025-03-01T00:00:00"/>
    <x v="2"/>
    <x v="0"/>
    <x v="2"/>
    <x v="0"/>
    <x v="8"/>
    <x v="2"/>
    <x v="8"/>
    <x v="2"/>
  </r>
  <r>
    <x v="1523"/>
    <x v="16"/>
    <x v="3"/>
    <n v="66"/>
    <x v="1236"/>
    <x v="56"/>
    <d v="2025-02-26T00:00:00"/>
    <x v="0"/>
    <x v="3"/>
    <x v="0"/>
    <x v="0"/>
    <x v="17"/>
    <x v="7"/>
    <x v="8"/>
    <x v="0"/>
  </r>
  <r>
    <x v="1524"/>
    <x v="2"/>
    <x v="42"/>
    <n v="118.2"/>
    <x v="1237"/>
    <x v="56"/>
    <d v="2025-03-03T00:00:00"/>
    <x v="0"/>
    <x v="0"/>
    <x v="0"/>
    <x v="0"/>
    <x v="17"/>
    <x v="0"/>
    <x v="8"/>
    <x v="0"/>
  </r>
  <r>
    <x v="1525"/>
    <x v="5"/>
    <x v="9"/>
    <n v="64.3"/>
    <x v="1238"/>
    <x v="56"/>
    <d v="2025-02-27T00:00:00"/>
    <x v="1"/>
    <x v="4"/>
    <x v="4"/>
    <x v="0"/>
    <x v="26"/>
    <x v="3"/>
    <x v="8"/>
    <x v="1"/>
  </r>
  <r>
    <x v="1526"/>
    <x v="1"/>
    <x v="1"/>
    <n v="54.8"/>
    <x v="1239"/>
    <x v="56"/>
    <d v="2025-02-26T00:00:00"/>
    <x v="1"/>
    <x v="0"/>
    <x v="1"/>
    <x v="0"/>
    <x v="26"/>
    <x v="7"/>
    <x v="8"/>
    <x v="1"/>
  </r>
  <r>
    <x v="1527"/>
    <x v="7"/>
    <x v="1"/>
    <n v="78.599999999999994"/>
    <x v="507"/>
    <x v="56"/>
    <d v="2025-02-27T00:00:00"/>
    <x v="1"/>
    <x v="0"/>
    <x v="2"/>
    <x v="0"/>
    <x v="9"/>
    <x v="3"/>
    <x v="8"/>
    <x v="1"/>
  </r>
  <r>
    <x v="1528"/>
    <x v="2"/>
    <x v="9"/>
    <n v="158.5"/>
    <x v="1240"/>
    <x v="56"/>
    <d v="2025-02-28T00:00:00"/>
    <x v="0"/>
    <x v="2"/>
    <x v="2"/>
    <x v="0"/>
    <x v="9"/>
    <x v="1"/>
    <x v="8"/>
    <x v="0"/>
  </r>
  <r>
    <x v="1529"/>
    <x v="4"/>
    <x v="7"/>
    <n v="23.5"/>
    <x v="666"/>
    <x v="56"/>
    <d v="2025-03-01T00:00:00"/>
    <x v="1"/>
    <x v="0"/>
    <x v="4"/>
    <x v="0"/>
    <x v="10"/>
    <x v="2"/>
    <x v="8"/>
    <x v="1"/>
  </r>
  <r>
    <x v="1530"/>
    <x v="5"/>
    <x v="1"/>
    <n v="32.1"/>
    <x v="1005"/>
    <x v="56"/>
    <d v="2025-02-28T00:00:00"/>
    <x v="0"/>
    <x v="3"/>
    <x v="0"/>
    <x v="0"/>
    <x v="10"/>
    <x v="1"/>
    <x v="8"/>
    <x v="0"/>
  </r>
  <r>
    <x v="1531"/>
    <x v="17"/>
    <x v="12"/>
    <n v="71.900000000000006"/>
    <x v="1241"/>
    <x v="56"/>
    <d v="2025-02-26T00:00:00"/>
    <x v="1"/>
    <x v="2"/>
    <x v="0"/>
    <x v="0"/>
    <x v="19"/>
    <x v="7"/>
    <x v="8"/>
    <x v="1"/>
  </r>
  <r>
    <x v="1532"/>
    <x v="4"/>
    <x v="13"/>
    <n v="22.3"/>
    <x v="981"/>
    <x v="56"/>
    <d v="2025-02-27T00:00:00"/>
    <x v="0"/>
    <x v="3"/>
    <x v="2"/>
    <x v="0"/>
    <x v="13"/>
    <x v="3"/>
    <x v="8"/>
    <x v="0"/>
  </r>
  <r>
    <x v="1533"/>
    <x v="11"/>
    <x v="1"/>
    <n v="29.5"/>
    <x v="1242"/>
    <x v="56"/>
    <d v="2025-02-27T00:00:00"/>
    <x v="2"/>
    <x v="0"/>
    <x v="2"/>
    <x v="0"/>
    <x v="13"/>
    <x v="3"/>
    <x v="8"/>
    <x v="2"/>
  </r>
  <r>
    <x v="1534"/>
    <x v="6"/>
    <x v="12"/>
    <n v="41.9"/>
    <x v="1243"/>
    <x v="56"/>
    <d v="2025-03-02T00:00:00"/>
    <x v="2"/>
    <x v="0"/>
    <x v="1"/>
    <x v="0"/>
    <x v="21"/>
    <x v="5"/>
    <x v="8"/>
    <x v="2"/>
  </r>
  <r>
    <x v="1535"/>
    <x v="6"/>
    <x v="2"/>
    <n v="107.8"/>
    <x v="1244"/>
    <x v="56"/>
    <d v="2025-02-27T00:00:00"/>
    <x v="1"/>
    <x v="1"/>
    <x v="2"/>
    <x v="0"/>
    <x v="46"/>
    <x v="3"/>
    <x v="8"/>
    <x v="1"/>
  </r>
  <r>
    <x v="1536"/>
    <x v="4"/>
    <x v="9"/>
    <n v="18.100000000000001"/>
    <x v="497"/>
    <x v="56"/>
    <d v="2025-03-01T00:00:00"/>
    <x v="1"/>
    <x v="0"/>
    <x v="2"/>
    <x v="0"/>
    <x v="2"/>
    <x v="2"/>
    <x v="8"/>
    <x v="1"/>
  </r>
  <r>
    <x v="1537"/>
    <x v="12"/>
    <x v="11"/>
    <n v="79.8"/>
    <x v="1245"/>
    <x v="56"/>
    <d v="2025-02-27T00:00:00"/>
    <x v="2"/>
    <x v="1"/>
    <x v="1"/>
    <x v="0"/>
    <x v="22"/>
    <x v="3"/>
    <x v="8"/>
    <x v="2"/>
  </r>
  <r>
    <x v="1538"/>
    <x v="0"/>
    <x v="2"/>
    <n v="22.3"/>
    <x v="884"/>
    <x v="56"/>
    <d v="2025-03-01T00:00:00"/>
    <x v="2"/>
    <x v="0"/>
    <x v="2"/>
    <x v="0"/>
    <x v="22"/>
    <x v="2"/>
    <x v="8"/>
    <x v="2"/>
  </r>
  <r>
    <x v="1539"/>
    <x v="8"/>
    <x v="0"/>
    <n v="22.9"/>
    <x v="1246"/>
    <x v="56"/>
    <d v="2025-02-26T00:00:00"/>
    <x v="2"/>
    <x v="1"/>
    <x v="0"/>
    <x v="0"/>
    <x v="22"/>
    <x v="7"/>
    <x v="8"/>
    <x v="2"/>
  </r>
  <r>
    <x v="1540"/>
    <x v="0"/>
    <x v="2"/>
    <n v="16.2"/>
    <x v="1247"/>
    <x v="57"/>
    <d v="2025-02-27T00:00:00"/>
    <x v="1"/>
    <x v="4"/>
    <x v="2"/>
    <x v="0"/>
    <x v="3"/>
    <x v="7"/>
    <x v="8"/>
    <x v="1"/>
  </r>
  <r>
    <x v="1541"/>
    <x v="10"/>
    <x v="12"/>
    <n v="59.5"/>
    <x v="1248"/>
    <x v="57"/>
    <d v="2025-02-28T00:00:00"/>
    <x v="1"/>
    <x v="1"/>
    <x v="2"/>
    <x v="0"/>
    <x v="3"/>
    <x v="3"/>
    <x v="8"/>
    <x v="1"/>
  </r>
  <r>
    <x v="1542"/>
    <x v="18"/>
    <x v="9"/>
    <n v="26.2"/>
    <x v="1249"/>
    <x v="57"/>
    <d v="2025-03-02T00:00:00"/>
    <x v="1"/>
    <x v="3"/>
    <x v="4"/>
    <x v="0"/>
    <x v="3"/>
    <x v="2"/>
    <x v="8"/>
    <x v="1"/>
  </r>
  <r>
    <x v="1543"/>
    <x v="3"/>
    <x v="0"/>
    <n v="44.2"/>
    <x v="573"/>
    <x v="57"/>
    <d v="2025-03-02T00:00:00"/>
    <x v="2"/>
    <x v="1"/>
    <x v="0"/>
    <x v="0"/>
    <x v="3"/>
    <x v="2"/>
    <x v="8"/>
    <x v="2"/>
  </r>
  <r>
    <x v="1544"/>
    <x v="9"/>
    <x v="1"/>
    <n v="59.2"/>
    <x v="1250"/>
    <x v="57"/>
    <d v="2025-02-27T00:00:00"/>
    <x v="2"/>
    <x v="1"/>
    <x v="4"/>
    <x v="0"/>
    <x v="3"/>
    <x v="7"/>
    <x v="8"/>
    <x v="2"/>
  </r>
  <r>
    <x v="1545"/>
    <x v="15"/>
    <x v="12"/>
    <n v="41.5"/>
    <x v="1251"/>
    <x v="57"/>
    <d v="2025-03-01T00:00:00"/>
    <x v="2"/>
    <x v="0"/>
    <x v="0"/>
    <x v="0"/>
    <x v="16"/>
    <x v="1"/>
    <x v="8"/>
    <x v="2"/>
  </r>
  <r>
    <x v="1546"/>
    <x v="6"/>
    <x v="4"/>
    <n v="67.099999999999994"/>
    <x v="1252"/>
    <x v="57"/>
    <d v="2025-03-13T00:00:00"/>
    <x v="2"/>
    <x v="0"/>
    <x v="2"/>
    <x v="0"/>
    <x v="23"/>
    <x v="12"/>
    <x v="8"/>
    <x v="2"/>
  </r>
  <r>
    <x v="1547"/>
    <x v="8"/>
    <x v="1"/>
    <n v="28.7"/>
    <x v="1253"/>
    <x v="57"/>
    <d v="2025-03-03T00:00:00"/>
    <x v="2"/>
    <x v="1"/>
    <x v="0"/>
    <x v="0"/>
    <x v="6"/>
    <x v="5"/>
    <x v="8"/>
    <x v="2"/>
  </r>
  <r>
    <x v="1548"/>
    <x v="2"/>
    <x v="12"/>
    <n v="132.1"/>
    <x v="1254"/>
    <x v="57"/>
    <d v="2025-02-28T00:00:00"/>
    <x v="2"/>
    <x v="0"/>
    <x v="1"/>
    <x v="0"/>
    <x v="6"/>
    <x v="3"/>
    <x v="8"/>
    <x v="2"/>
  </r>
  <r>
    <x v="1549"/>
    <x v="18"/>
    <x v="1"/>
    <n v="47"/>
    <x v="255"/>
    <x v="57"/>
    <d v="2025-03-01T00:00:00"/>
    <x v="1"/>
    <x v="4"/>
    <x v="0"/>
    <x v="0"/>
    <x v="8"/>
    <x v="1"/>
    <x v="8"/>
    <x v="1"/>
  </r>
  <r>
    <x v="1550"/>
    <x v="8"/>
    <x v="1"/>
    <n v="41.6"/>
    <x v="707"/>
    <x v="57"/>
    <d v="2025-03-03T00:00:00"/>
    <x v="1"/>
    <x v="1"/>
    <x v="2"/>
    <x v="0"/>
    <x v="8"/>
    <x v="5"/>
    <x v="8"/>
    <x v="1"/>
  </r>
  <r>
    <x v="1551"/>
    <x v="8"/>
    <x v="43"/>
    <n v="17.3"/>
    <x v="1255"/>
    <x v="57"/>
    <d v="2025-03-01T00:00:00"/>
    <x v="1"/>
    <x v="2"/>
    <x v="2"/>
    <x v="0"/>
    <x v="8"/>
    <x v="1"/>
    <x v="8"/>
    <x v="1"/>
  </r>
  <r>
    <x v="1552"/>
    <x v="13"/>
    <x v="2"/>
    <n v="41.8"/>
    <x v="352"/>
    <x v="57"/>
    <d v="2025-03-02T00:00:00"/>
    <x v="1"/>
    <x v="0"/>
    <x v="2"/>
    <x v="0"/>
    <x v="8"/>
    <x v="2"/>
    <x v="8"/>
    <x v="1"/>
  </r>
  <r>
    <x v="1553"/>
    <x v="10"/>
    <x v="0"/>
    <n v="24"/>
    <x v="835"/>
    <x v="57"/>
    <d v="2025-02-28T00:00:00"/>
    <x v="2"/>
    <x v="0"/>
    <x v="0"/>
    <x v="0"/>
    <x v="17"/>
    <x v="3"/>
    <x v="8"/>
    <x v="2"/>
  </r>
  <r>
    <x v="1554"/>
    <x v="14"/>
    <x v="11"/>
    <n v="18.5"/>
    <x v="1256"/>
    <x v="57"/>
    <d v="2025-03-01T00:00:00"/>
    <x v="2"/>
    <x v="0"/>
    <x v="0"/>
    <x v="0"/>
    <x v="9"/>
    <x v="1"/>
    <x v="8"/>
    <x v="2"/>
  </r>
  <r>
    <x v="1555"/>
    <x v="3"/>
    <x v="4"/>
    <n v="66.7"/>
    <x v="1257"/>
    <x v="57"/>
    <d v="2025-03-02T00:00:00"/>
    <x v="0"/>
    <x v="0"/>
    <x v="2"/>
    <x v="0"/>
    <x v="11"/>
    <x v="2"/>
    <x v="8"/>
    <x v="0"/>
  </r>
  <r>
    <x v="1556"/>
    <x v="1"/>
    <x v="12"/>
    <n v="33.1"/>
    <x v="979"/>
    <x v="57"/>
    <d v="2025-03-04T00:00:00"/>
    <x v="1"/>
    <x v="3"/>
    <x v="0"/>
    <x v="0"/>
    <x v="11"/>
    <x v="0"/>
    <x v="8"/>
    <x v="1"/>
  </r>
  <r>
    <x v="1557"/>
    <x v="19"/>
    <x v="11"/>
    <n v="42.1"/>
    <x v="1258"/>
    <x v="57"/>
    <d v="2025-03-10T00:00:00"/>
    <x v="1"/>
    <x v="1"/>
    <x v="0"/>
    <x v="0"/>
    <x v="18"/>
    <x v="11"/>
    <x v="8"/>
    <x v="1"/>
  </r>
  <r>
    <x v="1558"/>
    <x v="18"/>
    <x v="3"/>
    <n v="58.7"/>
    <x v="1259"/>
    <x v="57"/>
    <d v="2025-02-27T00:00:00"/>
    <x v="3"/>
    <x v="3"/>
    <x v="0"/>
    <x v="0"/>
    <x v="31"/>
    <x v="7"/>
    <x v="8"/>
    <x v="3"/>
  </r>
  <r>
    <x v="1559"/>
    <x v="6"/>
    <x v="12"/>
    <n v="54"/>
    <x v="760"/>
    <x v="57"/>
    <d v="2025-03-01T00:00:00"/>
    <x v="2"/>
    <x v="1"/>
    <x v="0"/>
    <x v="0"/>
    <x v="1"/>
    <x v="1"/>
    <x v="8"/>
    <x v="2"/>
  </r>
  <r>
    <x v="1560"/>
    <x v="8"/>
    <x v="0"/>
    <n v="52.1"/>
    <x v="475"/>
    <x v="57"/>
    <d v="2025-02-28T00:00:00"/>
    <x v="2"/>
    <x v="2"/>
    <x v="2"/>
    <x v="0"/>
    <x v="2"/>
    <x v="3"/>
    <x v="8"/>
    <x v="2"/>
  </r>
  <r>
    <x v="1561"/>
    <x v="19"/>
    <x v="1"/>
    <n v="27"/>
    <x v="1260"/>
    <x v="57"/>
    <d v="2025-03-02T00:00:00"/>
    <x v="3"/>
    <x v="2"/>
    <x v="0"/>
    <x v="0"/>
    <x v="22"/>
    <x v="2"/>
    <x v="8"/>
    <x v="3"/>
  </r>
  <r>
    <x v="1562"/>
    <x v="12"/>
    <x v="7"/>
    <n v="31"/>
    <x v="892"/>
    <x v="58"/>
    <d v="2025-03-01T00:00:00"/>
    <x v="2"/>
    <x v="3"/>
    <x v="2"/>
    <x v="0"/>
    <x v="22"/>
    <x v="3"/>
    <x v="8"/>
    <x v="2"/>
  </r>
  <r>
    <x v="1563"/>
    <x v="10"/>
    <x v="1"/>
    <n v="46.7"/>
    <x v="1261"/>
    <x v="58"/>
    <d v="2025-02-28T00:00:00"/>
    <x v="2"/>
    <x v="0"/>
    <x v="0"/>
    <x v="0"/>
    <x v="34"/>
    <x v="7"/>
    <x v="8"/>
    <x v="2"/>
  </r>
  <r>
    <x v="1564"/>
    <x v="6"/>
    <x v="0"/>
    <n v="144.69999999999999"/>
    <x v="1262"/>
    <x v="58"/>
    <d v="2025-03-03T00:00:00"/>
    <x v="1"/>
    <x v="0"/>
    <x v="2"/>
    <x v="0"/>
    <x v="3"/>
    <x v="2"/>
    <x v="8"/>
    <x v="1"/>
  </r>
  <r>
    <x v="1565"/>
    <x v="2"/>
    <x v="11"/>
    <n v="90.9"/>
    <x v="1263"/>
    <x v="58"/>
    <d v="2025-03-01T00:00:00"/>
    <x v="1"/>
    <x v="0"/>
    <x v="2"/>
    <x v="0"/>
    <x v="3"/>
    <x v="3"/>
    <x v="8"/>
    <x v="1"/>
  </r>
  <r>
    <x v="1566"/>
    <x v="1"/>
    <x v="1"/>
    <n v="75.8"/>
    <x v="318"/>
    <x v="58"/>
    <d v="2025-03-01T00:00:00"/>
    <x v="2"/>
    <x v="2"/>
    <x v="1"/>
    <x v="0"/>
    <x v="3"/>
    <x v="3"/>
    <x v="8"/>
    <x v="2"/>
  </r>
  <r>
    <x v="1567"/>
    <x v="7"/>
    <x v="9"/>
    <n v="57.9"/>
    <x v="1264"/>
    <x v="58"/>
    <d v="2025-03-02T00:00:00"/>
    <x v="1"/>
    <x v="2"/>
    <x v="2"/>
    <x v="0"/>
    <x v="3"/>
    <x v="1"/>
    <x v="8"/>
    <x v="1"/>
  </r>
  <r>
    <x v="1568"/>
    <x v="8"/>
    <x v="9"/>
    <n v="44.8"/>
    <x v="692"/>
    <x v="58"/>
    <d v="2025-03-01T00:00:00"/>
    <x v="2"/>
    <x v="3"/>
    <x v="2"/>
    <x v="0"/>
    <x v="3"/>
    <x v="3"/>
    <x v="8"/>
    <x v="2"/>
  </r>
  <r>
    <x v="1569"/>
    <x v="9"/>
    <x v="2"/>
    <n v="44.2"/>
    <x v="1265"/>
    <x v="58"/>
    <d v="2025-03-04T00:00:00"/>
    <x v="1"/>
    <x v="2"/>
    <x v="2"/>
    <x v="0"/>
    <x v="3"/>
    <x v="5"/>
    <x v="8"/>
    <x v="1"/>
  </r>
  <r>
    <x v="1570"/>
    <x v="5"/>
    <x v="9"/>
    <n v="53.5"/>
    <x v="1266"/>
    <x v="58"/>
    <d v="2025-03-02T00:00:00"/>
    <x v="1"/>
    <x v="0"/>
    <x v="0"/>
    <x v="0"/>
    <x v="37"/>
    <x v="1"/>
    <x v="8"/>
    <x v="1"/>
  </r>
  <r>
    <x v="1571"/>
    <x v="6"/>
    <x v="1"/>
    <n v="72.2"/>
    <x v="613"/>
    <x v="58"/>
    <d v="2025-03-01T00:00:00"/>
    <x v="1"/>
    <x v="0"/>
    <x v="2"/>
    <x v="0"/>
    <x v="25"/>
    <x v="3"/>
    <x v="8"/>
    <x v="1"/>
  </r>
  <r>
    <x v="1572"/>
    <x v="6"/>
    <x v="12"/>
    <n v="62.4"/>
    <x v="1267"/>
    <x v="58"/>
    <d v="2025-03-03T00:00:00"/>
    <x v="2"/>
    <x v="0"/>
    <x v="1"/>
    <x v="0"/>
    <x v="23"/>
    <x v="2"/>
    <x v="8"/>
    <x v="2"/>
  </r>
  <r>
    <x v="1573"/>
    <x v="10"/>
    <x v="9"/>
    <n v="24.7"/>
    <x v="1268"/>
    <x v="58"/>
    <d v="2025-03-01T00:00:00"/>
    <x v="2"/>
    <x v="0"/>
    <x v="0"/>
    <x v="0"/>
    <x v="6"/>
    <x v="3"/>
    <x v="8"/>
    <x v="2"/>
  </r>
  <r>
    <x v="1574"/>
    <x v="1"/>
    <x v="9"/>
    <n v="61.7"/>
    <x v="1269"/>
    <x v="58"/>
    <d v="2025-03-02T00:00:00"/>
    <x v="2"/>
    <x v="2"/>
    <x v="0"/>
    <x v="0"/>
    <x v="8"/>
    <x v="1"/>
    <x v="8"/>
    <x v="2"/>
  </r>
  <r>
    <x v="1575"/>
    <x v="8"/>
    <x v="9"/>
    <n v="18.2"/>
    <x v="1270"/>
    <x v="58"/>
    <d v="2025-03-02T00:00:00"/>
    <x v="2"/>
    <x v="3"/>
    <x v="0"/>
    <x v="0"/>
    <x v="8"/>
    <x v="1"/>
    <x v="8"/>
    <x v="2"/>
  </r>
  <r>
    <x v="1576"/>
    <x v="10"/>
    <x v="12"/>
    <n v="37.200000000000003"/>
    <x v="956"/>
    <x v="58"/>
    <d v="2025-03-06T00:00:00"/>
    <x v="2"/>
    <x v="0"/>
    <x v="0"/>
    <x v="0"/>
    <x v="8"/>
    <x v="4"/>
    <x v="8"/>
    <x v="2"/>
  </r>
  <r>
    <x v="1577"/>
    <x v="9"/>
    <x v="2"/>
    <n v="53.5"/>
    <x v="1271"/>
    <x v="58"/>
    <d v="2025-03-02T00:00:00"/>
    <x v="2"/>
    <x v="1"/>
    <x v="2"/>
    <x v="0"/>
    <x v="9"/>
    <x v="1"/>
    <x v="8"/>
    <x v="2"/>
  </r>
  <r>
    <x v="1578"/>
    <x v="8"/>
    <x v="2"/>
    <n v="43.6"/>
    <x v="1272"/>
    <x v="58"/>
    <d v="2025-02-28T00:00:00"/>
    <x v="2"/>
    <x v="0"/>
    <x v="0"/>
    <x v="0"/>
    <x v="9"/>
    <x v="7"/>
    <x v="8"/>
    <x v="2"/>
  </r>
  <r>
    <x v="1579"/>
    <x v="1"/>
    <x v="7"/>
    <n v="135"/>
    <x v="1273"/>
    <x v="58"/>
    <d v="2025-03-02T00:00:00"/>
    <x v="2"/>
    <x v="0"/>
    <x v="2"/>
    <x v="0"/>
    <x v="9"/>
    <x v="1"/>
    <x v="8"/>
    <x v="2"/>
  </r>
  <r>
    <x v="1580"/>
    <x v="8"/>
    <x v="9"/>
    <n v="38.5"/>
    <x v="796"/>
    <x v="58"/>
    <d v="2025-02-28T00:00:00"/>
    <x v="1"/>
    <x v="4"/>
    <x v="2"/>
    <x v="0"/>
    <x v="10"/>
    <x v="7"/>
    <x v="8"/>
    <x v="1"/>
  </r>
  <r>
    <x v="1581"/>
    <x v="9"/>
    <x v="1"/>
    <n v="24"/>
    <x v="510"/>
    <x v="58"/>
    <d v="2025-03-05T00:00:00"/>
    <x v="2"/>
    <x v="0"/>
    <x v="0"/>
    <x v="0"/>
    <x v="11"/>
    <x v="0"/>
    <x v="8"/>
    <x v="2"/>
  </r>
  <r>
    <x v="1582"/>
    <x v="4"/>
    <x v="2"/>
    <n v="28.2"/>
    <x v="1274"/>
    <x v="58"/>
    <d v="2025-03-02T00:00:00"/>
    <x v="1"/>
    <x v="0"/>
    <x v="3"/>
    <x v="0"/>
    <x v="18"/>
    <x v="1"/>
    <x v="8"/>
    <x v="1"/>
  </r>
  <r>
    <x v="1583"/>
    <x v="7"/>
    <x v="2"/>
    <n v="37.4"/>
    <x v="794"/>
    <x v="58"/>
    <d v="2025-03-01T00:00:00"/>
    <x v="2"/>
    <x v="3"/>
    <x v="0"/>
    <x v="0"/>
    <x v="1"/>
    <x v="3"/>
    <x v="8"/>
    <x v="2"/>
  </r>
  <r>
    <x v="1584"/>
    <x v="6"/>
    <x v="2"/>
    <n v="53.5"/>
    <x v="1271"/>
    <x v="58"/>
    <d v="2025-03-03T00:00:00"/>
    <x v="0"/>
    <x v="4"/>
    <x v="4"/>
    <x v="0"/>
    <x v="1"/>
    <x v="2"/>
    <x v="8"/>
    <x v="0"/>
  </r>
  <r>
    <x v="1585"/>
    <x v="11"/>
    <x v="9"/>
    <n v="36.200000000000003"/>
    <x v="1275"/>
    <x v="58"/>
    <d v="2025-03-01T00:00:00"/>
    <x v="1"/>
    <x v="1"/>
    <x v="2"/>
    <x v="0"/>
    <x v="33"/>
    <x v="3"/>
    <x v="8"/>
    <x v="1"/>
  </r>
  <r>
    <x v="1586"/>
    <x v="0"/>
    <x v="8"/>
    <n v="31.9"/>
    <x v="281"/>
    <x v="58"/>
    <d v="2025-03-01T00:00:00"/>
    <x v="2"/>
    <x v="4"/>
    <x v="0"/>
    <x v="0"/>
    <x v="3"/>
    <x v="3"/>
    <x v="8"/>
    <x v="2"/>
  </r>
  <r>
    <x v="1587"/>
    <x v="8"/>
    <x v="2"/>
    <n v="21.3"/>
    <x v="1276"/>
    <x v="58"/>
    <d v="2025-03-01T00:00:00"/>
    <x v="1"/>
    <x v="0"/>
    <x v="2"/>
    <x v="0"/>
    <x v="3"/>
    <x v="3"/>
    <x v="8"/>
    <x v="1"/>
  </r>
  <r>
    <x v="1588"/>
    <x v="8"/>
    <x v="0"/>
    <n v="36.299999999999997"/>
    <x v="1277"/>
    <x v="58"/>
    <d v="2025-03-02T00:00:00"/>
    <x v="3"/>
    <x v="4"/>
    <x v="0"/>
    <x v="0"/>
    <x v="3"/>
    <x v="1"/>
    <x v="8"/>
    <x v="3"/>
  </r>
  <r>
    <x v="1589"/>
    <x v="6"/>
    <x v="2"/>
    <n v="110.5"/>
    <x v="1278"/>
    <x v="58"/>
    <d v="2025-03-01T00:00:00"/>
    <x v="2"/>
    <x v="0"/>
    <x v="3"/>
    <x v="0"/>
    <x v="3"/>
    <x v="3"/>
    <x v="8"/>
    <x v="2"/>
  </r>
  <r>
    <x v="1590"/>
    <x v="10"/>
    <x v="3"/>
    <n v="32.6"/>
    <x v="1279"/>
    <x v="58"/>
    <d v="2025-03-02T00:00:00"/>
    <x v="2"/>
    <x v="0"/>
    <x v="1"/>
    <x v="0"/>
    <x v="3"/>
    <x v="1"/>
    <x v="8"/>
    <x v="2"/>
  </r>
  <r>
    <x v="1591"/>
    <x v="5"/>
    <x v="2"/>
    <n v="55.6"/>
    <x v="701"/>
    <x v="59"/>
    <d v="2025-03-14T00:00:00"/>
    <x v="2"/>
    <x v="0"/>
    <x v="0"/>
    <x v="0"/>
    <x v="3"/>
    <x v="10"/>
    <x v="8"/>
    <x v="2"/>
  </r>
  <r>
    <x v="1592"/>
    <x v="1"/>
    <x v="12"/>
    <n v="38"/>
    <x v="465"/>
    <x v="59"/>
    <d v="2025-03-02T00:00:00"/>
    <x v="2"/>
    <x v="3"/>
    <x v="2"/>
    <x v="0"/>
    <x v="5"/>
    <x v="3"/>
    <x v="8"/>
    <x v="2"/>
  </r>
  <r>
    <x v="1593"/>
    <x v="10"/>
    <x v="1"/>
    <n v="51.8"/>
    <x v="186"/>
    <x v="59"/>
    <d v="2025-03-07T00:00:00"/>
    <x v="1"/>
    <x v="1"/>
    <x v="4"/>
    <x v="0"/>
    <x v="6"/>
    <x v="4"/>
    <x v="8"/>
    <x v="1"/>
  </r>
  <r>
    <x v="1594"/>
    <x v="11"/>
    <x v="8"/>
    <n v="28.7"/>
    <x v="1166"/>
    <x v="59"/>
    <d v="2025-03-06T00:00:00"/>
    <x v="2"/>
    <x v="0"/>
    <x v="0"/>
    <x v="0"/>
    <x v="6"/>
    <x v="0"/>
    <x v="8"/>
    <x v="2"/>
  </r>
  <r>
    <x v="1595"/>
    <x v="6"/>
    <x v="4"/>
    <n v="52.2"/>
    <x v="1280"/>
    <x v="59"/>
    <d v="2025-03-01T00:00:00"/>
    <x v="1"/>
    <x v="0"/>
    <x v="1"/>
    <x v="0"/>
    <x v="6"/>
    <x v="7"/>
    <x v="8"/>
    <x v="1"/>
  </r>
  <r>
    <x v="1596"/>
    <x v="1"/>
    <x v="1"/>
    <n v="68.2"/>
    <x v="517"/>
    <x v="59"/>
    <d v="2025-03-02T00:00:00"/>
    <x v="0"/>
    <x v="2"/>
    <x v="0"/>
    <x v="0"/>
    <x v="7"/>
    <x v="3"/>
    <x v="8"/>
    <x v="0"/>
  </r>
  <r>
    <x v="1597"/>
    <x v="0"/>
    <x v="2"/>
    <n v="34"/>
    <x v="1062"/>
    <x v="59"/>
    <d v="2025-03-05T00:00:00"/>
    <x v="2"/>
    <x v="0"/>
    <x v="0"/>
    <x v="0"/>
    <x v="8"/>
    <x v="5"/>
    <x v="8"/>
    <x v="2"/>
  </r>
  <r>
    <x v="1598"/>
    <x v="8"/>
    <x v="2"/>
    <n v="19.100000000000001"/>
    <x v="1281"/>
    <x v="59"/>
    <d v="2025-03-02T00:00:00"/>
    <x v="2"/>
    <x v="4"/>
    <x v="0"/>
    <x v="0"/>
    <x v="8"/>
    <x v="3"/>
    <x v="8"/>
    <x v="2"/>
  </r>
  <r>
    <x v="1599"/>
    <x v="5"/>
    <x v="8"/>
    <n v="34"/>
    <x v="1123"/>
    <x v="59"/>
    <d v="2025-03-09T00:00:00"/>
    <x v="2"/>
    <x v="4"/>
    <x v="0"/>
    <x v="0"/>
    <x v="8"/>
    <x v="9"/>
    <x v="8"/>
    <x v="2"/>
  </r>
  <r>
    <x v="1600"/>
    <x v="12"/>
    <x v="1"/>
    <n v="109.1"/>
    <x v="1282"/>
    <x v="59"/>
    <d v="2025-03-03T00:00:00"/>
    <x v="1"/>
    <x v="0"/>
    <x v="2"/>
    <x v="0"/>
    <x v="8"/>
    <x v="1"/>
    <x v="8"/>
    <x v="1"/>
  </r>
  <r>
    <x v="1601"/>
    <x v="18"/>
    <x v="1"/>
    <n v="64.8"/>
    <x v="632"/>
    <x v="59"/>
    <d v="2025-03-03T00:00:00"/>
    <x v="1"/>
    <x v="0"/>
    <x v="2"/>
    <x v="0"/>
    <x v="8"/>
    <x v="1"/>
    <x v="8"/>
    <x v="1"/>
  </r>
  <r>
    <x v="1602"/>
    <x v="10"/>
    <x v="1"/>
    <n v="21.1"/>
    <x v="1283"/>
    <x v="59"/>
    <d v="2025-03-01T00:00:00"/>
    <x v="2"/>
    <x v="1"/>
    <x v="0"/>
    <x v="0"/>
    <x v="11"/>
    <x v="7"/>
    <x v="8"/>
    <x v="2"/>
  </r>
  <r>
    <x v="1603"/>
    <x v="0"/>
    <x v="8"/>
    <n v="21.3"/>
    <x v="1284"/>
    <x v="59"/>
    <d v="2025-03-03T00:00:00"/>
    <x v="1"/>
    <x v="3"/>
    <x v="1"/>
    <x v="0"/>
    <x v="18"/>
    <x v="1"/>
    <x v="8"/>
    <x v="1"/>
  </r>
  <r>
    <x v="1604"/>
    <x v="9"/>
    <x v="2"/>
    <n v="24.3"/>
    <x v="1285"/>
    <x v="59"/>
    <d v="2025-03-02T00:00:00"/>
    <x v="1"/>
    <x v="1"/>
    <x v="0"/>
    <x v="0"/>
    <x v="19"/>
    <x v="3"/>
    <x v="8"/>
    <x v="1"/>
  </r>
  <r>
    <x v="1605"/>
    <x v="8"/>
    <x v="0"/>
    <n v="43.3"/>
    <x v="1286"/>
    <x v="59"/>
    <d v="2025-03-05T00:00:00"/>
    <x v="1"/>
    <x v="1"/>
    <x v="1"/>
    <x v="0"/>
    <x v="13"/>
    <x v="5"/>
    <x v="8"/>
    <x v="1"/>
  </r>
  <r>
    <x v="1606"/>
    <x v="9"/>
    <x v="2"/>
    <n v="41"/>
    <x v="1287"/>
    <x v="59"/>
    <d v="2025-03-02T00:00:00"/>
    <x v="2"/>
    <x v="3"/>
    <x v="4"/>
    <x v="0"/>
    <x v="21"/>
    <x v="3"/>
    <x v="8"/>
    <x v="2"/>
  </r>
  <r>
    <x v="1607"/>
    <x v="16"/>
    <x v="2"/>
    <n v="54.1"/>
    <x v="1288"/>
    <x v="59"/>
    <d v="2025-03-03T00:00:00"/>
    <x v="2"/>
    <x v="4"/>
    <x v="0"/>
    <x v="0"/>
    <x v="21"/>
    <x v="1"/>
    <x v="8"/>
    <x v="2"/>
  </r>
  <r>
    <x v="1608"/>
    <x v="11"/>
    <x v="1"/>
    <n v="39"/>
    <x v="292"/>
    <x v="59"/>
    <d v="2025-03-02T00:00:00"/>
    <x v="1"/>
    <x v="1"/>
    <x v="2"/>
    <x v="0"/>
    <x v="1"/>
    <x v="3"/>
    <x v="8"/>
    <x v="1"/>
  </r>
  <r>
    <x v="1609"/>
    <x v="8"/>
    <x v="1"/>
    <n v="40.299999999999997"/>
    <x v="7"/>
    <x v="59"/>
    <d v="2025-03-03T00:00:00"/>
    <x v="1"/>
    <x v="3"/>
    <x v="0"/>
    <x v="0"/>
    <x v="27"/>
    <x v="1"/>
    <x v="8"/>
    <x v="1"/>
  </r>
  <r>
    <x v="1610"/>
    <x v="8"/>
    <x v="2"/>
    <n v="24.1"/>
    <x v="1289"/>
    <x v="59"/>
    <d v="2025-03-02T00:00:00"/>
    <x v="1"/>
    <x v="0"/>
    <x v="2"/>
    <x v="0"/>
    <x v="34"/>
    <x v="3"/>
    <x v="8"/>
    <x v="1"/>
  </r>
  <r>
    <x v="1611"/>
    <x v="6"/>
    <x v="9"/>
    <n v="52.3"/>
    <x v="1290"/>
    <x v="59"/>
    <d v="2025-03-02T00:00:00"/>
    <x v="1"/>
    <x v="2"/>
    <x v="0"/>
    <x v="0"/>
    <x v="3"/>
    <x v="3"/>
    <x v="8"/>
    <x v="1"/>
  </r>
  <r>
    <x v="1612"/>
    <x v="12"/>
    <x v="12"/>
    <n v="68.8"/>
    <x v="1291"/>
    <x v="59"/>
    <d v="2025-03-05T00:00:00"/>
    <x v="2"/>
    <x v="4"/>
    <x v="2"/>
    <x v="0"/>
    <x v="3"/>
    <x v="5"/>
    <x v="8"/>
    <x v="2"/>
  </r>
  <r>
    <x v="1613"/>
    <x v="2"/>
    <x v="1"/>
    <n v="128.80000000000001"/>
    <x v="1292"/>
    <x v="60"/>
    <d v="2025-03-05T00:00:00"/>
    <x v="2"/>
    <x v="1"/>
    <x v="1"/>
    <x v="0"/>
    <x v="3"/>
    <x v="2"/>
    <x v="9"/>
    <x v="2"/>
  </r>
  <r>
    <x v="1614"/>
    <x v="15"/>
    <x v="9"/>
    <n v="48.2"/>
    <x v="1044"/>
    <x v="60"/>
    <d v="2025-03-04T00:00:00"/>
    <x v="2"/>
    <x v="3"/>
    <x v="0"/>
    <x v="0"/>
    <x v="3"/>
    <x v="1"/>
    <x v="9"/>
    <x v="2"/>
  </r>
  <r>
    <x v="1615"/>
    <x v="10"/>
    <x v="0"/>
    <n v="39.700000000000003"/>
    <x v="144"/>
    <x v="60"/>
    <d v="2025-03-04T00:00:00"/>
    <x v="2"/>
    <x v="0"/>
    <x v="1"/>
    <x v="0"/>
    <x v="3"/>
    <x v="1"/>
    <x v="9"/>
    <x v="2"/>
  </r>
  <r>
    <x v="1616"/>
    <x v="9"/>
    <x v="0"/>
    <n v="59.7"/>
    <x v="1201"/>
    <x v="60"/>
    <d v="2025-03-05T00:00:00"/>
    <x v="2"/>
    <x v="4"/>
    <x v="0"/>
    <x v="0"/>
    <x v="3"/>
    <x v="2"/>
    <x v="9"/>
    <x v="2"/>
  </r>
  <r>
    <x v="1617"/>
    <x v="6"/>
    <x v="0"/>
    <n v="48.3"/>
    <x v="1293"/>
    <x v="60"/>
    <d v="2025-03-16T00:00:00"/>
    <x v="3"/>
    <x v="0"/>
    <x v="2"/>
    <x v="0"/>
    <x v="3"/>
    <x v="12"/>
    <x v="9"/>
    <x v="3"/>
  </r>
  <r>
    <x v="1618"/>
    <x v="8"/>
    <x v="2"/>
    <n v="45.5"/>
    <x v="1294"/>
    <x v="60"/>
    <d v="2025-03-04T00:00:00"/>
    <x v="1"/>
    <x v="2"/>
    <x v="1"/>
    <x v="0"/>
    <x v="3"/>
    <x v="1"/>
    <x v="9"/>
    <x v="1"/>
  </r>
  <r>
    <x v="1619"/>
    <x v="9"/>
    <x v="6"/>
    <n v="51"/>
    <x v="1295"/>
    <x v="60"/>
    <d v="2025-03-02T00:00:00"/>
    <x v="2"/>
    <x v="2"/>
    <x v="0"/>
    <x v="0"/>
    <x v="3"/>
    <x v="7"/>
    <x v="9"/>
    <x v="2"/>
  </r>
  <r>
    <x v="1620"/>
    <x v="4"/>
    <x v="13"/>
    <n v="20.399999999999999"/>
    <x v="1296"/>
    <x v="60"/>
    <d v="2025-03-03T00:00:00"/>
    <x v="1"/>
    <x v="2"/>
    <x v="0"/>
    <x v="0"/>
    <x v="3"/>
    <x v="3"/>
    <x v="9"/>
    <x v="1"/>
  </r>
  <r>
    <x v="1621"/>
    <x v="10"/>
    <x v="1"/>
    <n v="30.4"/>
    <x v="1297"/>
    <x v="60"/>
    <d v="2025-03-04T00:00:00"/>
    <x v="1"/>
    <x v="2"/>
    <x v="0"/>
    <x v="0"/>
    <x v="3"/>
    <x v="1"/>
    <x v="9"/>
    <x v="1"/>
  </r>
  <r>
    <x v="1622"/>
    <x v="7"/>
    <x v="1"/>
    <n v="71.5"/>
    <x v="1298"/>
    <x v="60"/>
    <d v="2025-03-06T00:00:00"/>
    <x v="2"/>
    <x v="0"/>
    <x v="0"/>
    <x v="0"/>
    <x v="3"/>
    <x v="5"/>
    <x v="9"/>
    <x v="2"/>
  </r>
  <r>
    <x v="1623"/>
    <x v="8"/>
    <x v="13"/>
    <n v="18"/>
    <x v="807"/>
    <x v="60"/>
    <d v="2025-03-03T00:00:00"/>
    <x v="3"/>
    <x v="1"/>
    <x v="2"/>
    <x v="0"/>
    <x v="6"/>
    <x v="3"/>
    <x v="9"/>
    <x v="3"/>
  </r>
  <r>
    <x v="1624"/>
    <x v="15"/>
    <x v="5"/>
    <n v="45.6"/>
    <x v="1299"/>
    <x v="60"/>
    <d v="2025-03-03T00:00:00"/>
    <x v="3"/>
    <x v="1"/>
    <x v="1"/>
    <x v="0"/>
    <x v="7"/>
    <x v="3"/>
    <x v="9"/>
    <x v="3"/>
  </r>
  <r>
    <x v="1625"/>
    <x v="9"/>
    <x v="0"/>
    <n v="31.8"/>
    <x v="627"/>
    <x v="60"/>
    <d v="2025-03-06T00:00:00"/>
    <x v="2"/>
    <x v="0"/>
    <x v="2"/>
    <x v="0"/>
    <x v="7"/>
    <x v="5"/>
    <x v="9"/>
    <x v="2"/>
  </r>
  <r>
    <x v="1626"/>
    <x v="8"/>
    <x v="9"/>
    <n v="19.899999999999999"/>
    <x v="1300"/>
    <x v="60"/>
    <d v="2025-03-03T00:00:00"/>
    <x v="2"/>
    <x v="1"/>
    <x v="0"/>
    <x v="0"/>
    <x v="7"/>
    <x v="3"/>
    <x v="9"/>
    <x v="2"/>
  </r>
  <r>
    <x v="1627"/>
    <x v="12"/>
    <x v="11"/>
    <n v="52.1"/>
    <x v="1301"/>
    <x v="60"/>
    <d v="2025-03-04T00:00:00"/>
    <x v="1"/>
    <x v="0"/>
    <x v="0"/>
    <x v="0"/>
    <x v="8"/>
    <x v="1"/>
    <x v="9"/>
    <x v="1"/>
  </r>
  <r>
    <x v="1628"/>
    <x v="1"/>
    <x v="3"/>
    <n v="45.9"/>
    <x v="1198"/>
    <x v="60"/>
    <d v="2025-03-03T00:00:00"/>
    <x v="1"/>
    <x v="0"/>
    <x v="1"/>
    <x v="0"/>
    <x v="8"/>
    <x v="3"/>
    <x v="9"/>
    <x v="1"/>
  </r>
  <r>
    <x v="1629"/>
    <x v="1"/>
    <x v="7"/>
    <n v="115.9"/>
    <x v="1302"/>
    <x v="60"/>
    <d v="2025-03-05T00:00:00"/>
    <x v="2"/>
    <x v="1"/>
    <x v="0"/>
    <x v="0"/>
    <x v="8"/>
    <x v="2"/>
    <x v="9"/>
    <x v="2"/>
  </r>
  <r>
    <x v="1630"/>
    <x v="6"/>
    <x v="11"/>
    <n v="86"/>
    <x v="1303"/>
    <x v="60"/>
    <d v="2025-03-07T00:00:00"/>
    <x v="2"/>
    <x v="0"/>
    <x v="1"/>
    <x v="0"/>
    <x v="8"/>
    <x v="0"/>
    <x v="9"/>
    <x v="2"/>
  </r>
  <r>
    <x v="1631"/>
    <x v="7"/>
    <x v="3"/>
    <n v="73.599999999999994"/>
    <x v="1304"/>
    <x v="60"/>
    <d v="2025-03-04T00:00:00"/>
    <x v="2"/>
    <x v="0"/>
    <x v="0"/>
    <x v="0"/>
    <x v="17"/>
    <x v="1"/>
    <x v="9"/>
    <x v="2"/>
  </r>
  <r>
    <x v="1632"/>
    <x v="10"/>
    <x v="2"/>
    <n v="26.7"/>
    <x v="1133"/>
    <x v="60"/>
    <d v="2025-03-06T00:00:00"/>
    <x v="2"/>
    <x v="0"/>
    <x v="0"/>
    <x v="0"/>
    <x v="11"/>
    <x v="5"/>
    <x v="9"/>
    <x v="2"/>
  </r>
  <r>
    <x v="1633"/>
    <x v="8"/>
    <x v="3"/>
    <n v="46.6"/>
    <x v="1305"/>
    <x v="60"/>
    <d v="2025-03-04T00:00:00"/>
    <x v="0"/>
    <x v="3"/>
    <x v="0"/>
    <x v="0"/>
    <x v="11"/>
    <x v="1"/>
    <x v="9"/>
    <x v="0"/>
  </r>
  <r>
    <x v="1634"/>
    <x v="3"/>
    <x v="2"/>
    <n v="84.6"/>
    <x v="1306"/>
    <x v="60"/>
    <d v="2025-03-04T00:00:00"/>
    <x v="1"/>
    <x v="4"/>
    <x v="0"/>
    <x v="0"/>
    <x v="11"/>
    <x v="1"/>
    <x v="9"/>
    <x v="1"/>
  </r>
  <r>
    <x v="1635"/>
    <x v="7"/>
    <x v="21"/>
    <n v="41.5"/>
    <x v="1307"/>
    <x v="60"/>
    <d v="2025-03-16T00:00:00"/>
    <x v="1"/>
    <x v="1"/>
    <x v="0"/>
    <x v="0"/>
    <x v="53"/>
    <x v="12"/>
    <x v="9"/>
    <x v="1"/>
  </r>
  <r>
    <x v="1636"/>
    <x v="8"/>
    <x v="0"/>
    <n v="32.799999999999997"/>
    <x v="944"/>
    <x v="60"/>
    <d v="2025-03-05T00:00:00"/>
    <x v="1"/>
    <x v="0"/>
    <x v="2"/>
    <x v="0"/>
    <x v="30"/>
    <x v="2"/>
    <x v="9"/>
    <x v="1"/>
  </r>
  <r>
    <x v="1637"/>
    <x v="4"/>
    <x v="3"/>
    <n v="46.7"/>
    <x v="1308"/>
    <x v="60"/>
    <d v="2025-03-04T00:00:00"/>
    <x v="3"/>
    <x v="0"/>
    <x v="2"/>
    <x v="0"/>
    <x v="18"/>
    <x v="1"/>
    <x v="9"/>
    <x v="3"/>
  </r>
  <r>
    <x v="1638"/>
    <x v="15"/>
    <x v="3"/>
    <n v="21"/>
    <x v="926"/>
    <x v="60"/>
    <d v="2025-03-05T00:00:00"/>
    <x v="1"/>
    <x v="2"/>
    <x v="1"/>
    <x v="0"/>
    <x v="21"/>
    <x v="2"/>
    <x v="9"/>
    <x v="1"/>
  </r>
  <r>
    <x v="1639"/>
    <x v="5"/>
    <x v="3"/>
    <n v="29.4"/>
    <x v="43"/>
    <x v="60"/>
    <d v="2025-03-02T00:00:00"/>
    <x v="1"/>
    <x v="3"/>
    <x v="2"/>
    <x v="0"/>
    <x v="21"/>
    <x v="7"/>
    <x v="9"/>
    <x v="1"/>
  </r>
  <r>
    <x v="1640"/>
    <x v="15"/>
    <x v="1"/>
    <n v="32.299999999999997"/>
    <x v="1099"/>
    <x v="60"/>
    <d v="2025-03-03T00:00:00"/>
    <x v="1"/>
    <x v="0"/>
    <x v="2"/>
    <x v="0"/>
    <x v="21"/>
    <x v="3"/>
    <x v="9"/>
    <x v="1"/>
  </r>
  <r>
    <x v="1641"/>
    <x v="6"/>
    <x v="0"/>
    <n v="42.2"/>
    <x v="1283"/>
    <x v="61"/>
    <d v="2025-03-05T00:00:00"/>
    <x v="2"/>
    <x v="0"/>
    <x v="2"/>
    <x v="0"/>
    <x v="21"/>
    <x v="1"/>
    <x v="9"/>
    <x v="2"/>
  </r>
  <r>
    <x v="1642"/>
    <x v="6"/>
    <x v="0"/>
    <n v="53.7"/>
    <x v="1309"/>
    <x v="61"/>
    <d v="2025-03-05T00:00:00"/>
    <x v="1"/>
    <x v="1"/>
    <x v="1"/>
    <x v="0"/>
    <x v="1"/>
    <x v="1"/>
    <x v="9"/>
    <x v="1"/>
  </r>
  <r>
    <x v="1643"/>
    <x v="2"/>
    <x v="1"/>
    <n v="123.9"/>
    <x v="1310"/>
    <x v="61"/>
    <d v="2025-03-06T00:00:00"/>
    <x v="1"/>
    <x v="2"/>
    <x v="0"/>
    <x v="0"/>
    <x v="1"/>
    <x v="2"/>
    <x v="9"/>
    <x v="1"/>
  </r>
  <r>
    <x v="1644"/>
    <x v="4"/>
    <x v="2"/>
    <n v="35.9"/>
    <x v="1311"/>
    <x v="61"/>
    <d v="2025-03-05T00:00:00"/>
    <x v="1"/>
    <x v="2"/>
    <x v="0"/>
    <x v="0"/>
    <x v="22"/>
    <x v="1"/>
    <x v="9"/>
    <x v="1"/>
  </r>
  <r>
    <x v="1645"/>
    <x v="4"/>
    <x v="1"/>
    <n v="23.6"/>
    <x v="828"/>
    <x v="61"/>
    <d v="2025-03-06T00:00:00"/>
    <x v="1"/>
    <x v="0"/>
    <x v="2"/>
    <x v="0"/>
    <x v="3"/>
    <x v="2"/>
    <x v="9"/>
    <x v="1"/>
  </r>
  <r>
    <x v="1646"/>
    <x v="15"/>
    <x v="36"/>
    <n v="45.7"/>
    <x v="1312"/>
    <x v="61"/>
    <d v="2025-03-04T00:00:00"/>
    <x v="1"/>
    <x v="0"/>
    <x v="1"/>
    <x v="0"/>
    <x v="3"/>
    <x v="3"/>
    <x v="9"/>
    <x v="1"/>
  </r>
  <r>
    <x v="1647"/>
    <x v="6"/>
    <x v="5"/>
    <n v="118.3"/>
    <x v="1313"/>
    <x v="61"/>
    <d v="2025-03-05T00:00:00"/>
    <x v="1"/>
    <x v="4"/>
    <x v="2"/>
    <x v="0"/>
    <x v="3"/>
    <x v="1"/>
    <x v="9"/>
    <x v="1"/>
  </r>
  <r>
    <x v="1648"/>
    <x v="19"/>
    <x v="0"/>
    <n v="36"/>
    <x v="53"/>
    <x v="61"/>
    <d v="2025-03-04T00:00:00"/>
    <x v="2"/>
    <x v="0"/>
    <x v="1"/>
    <x v="0"/>
    <x v="3"/>
    <x v="3"/>
    <x v="9"/>
    <x v="2"/>
  </r>
  <r>
    <x v="1649"/>
    <x v="8"/>
    <x v="1"/>
    <n v="37.1"/>
    <x v="1314"/>
    <x v="61"/>
    <d v="2025-03-06T00:00:00"/>
    <x v="2"/>
    <x v="2"/>
    <x v="0"/>
    <x v="0"/>
    <x v="3"/>
    <x v="2"/>
    <x v="9"/>
    <x v="2"/>
  </r>
  <r>
    <x v="1650"/>
    <x v="18"/>
    <x v="2"/>
    <n v="45.1"/>
    <x v="246"/>
    <x v="61"/>
    <d v="2025-03-05T00:00:00"/>
    <x v="2"/>
    <x v="1"/>
    <x v="2"/>
    <x v="0"/>
    <x v="3"/>
    <x v="1"/>
    <x v="9"/>
    <x v="2"/>
  </r>
  <r>
    <x v="1651"/>
    <x v="5"/>
    <x v="27"/>
    <n v="37.9"/>
    <x v="1315"/>
    <x v="61"/>
    <d v="2025-03-04T00:00:00"/>
    <x v="2"/>
    <x v="3"/>
    <x v="2"/>
    <x v="0"/>
    <x v="3"/>
    <x v="3"/>
    <x v="9"/>
    <x v="2"/>
  </r>
  <r>
    <x v="1652"/>
    <x v="2"/>
    <x v="1"/>
    <n v="121.6"/>
    <x v="1316"/>
    <x v="61"/>
    <d v="2025-03-06T00:00:00"/>
    <x v="1"/>
    <x v="3"/>
    <x v="2"/>
    <x v="0"/>
    <x v="3"/>
    <x v="2"/>
    <x v="9"/>
    <x v="1"/>
  </r>
  <r>
    <x v="1653"/>
    <x v="5"/>
    <x v="3"/>
    <n v="38.200000000000003"/>
    <x v="1317"/>
    <x v="61"/>
    <d v="2025-03-06T00:00:00"/>
    <x v="2"/>
    <x v="0"/>
    <x v="0"/>
    <x v="0"/>
    <x v="3"/>
    <x v="2"/>
    <x v="9"/>
    <x v="2"/>
  </r>
  <r>
    <x v="1654"/>
    <x v="17"/>
    <x v="1"/>
    <n v="37.200000000000003"/>
    <x v="610"/>
    <x v="61"/>
    <d v="2025-03-06T00:00:00"/>
    <x v="1"/>
    <x v="4"/>
    <x v="0"/>
    <x v="0"/>
    <x v="3"/>
    <x v="2"/>
    <x v="9"/>
    <x v="1"/>
  </r>
  <r>
    <x v="1655"/>
    <x v="2"/>
    <x v="12"/>
    <n v="115.7"/>
    <x v="1318"/>
    <x v="61"/>
    <d v="2025-03-06T00:00:00"/>
    <x v="2"/>
    <x v="1"/>
    <x v="0"/>
    <x v="0"/>
    <x v="3"/>
    <x v="2"/>
    <x v="9"/>
    <x v="2"/>
  </r>
  <r>
    <x v="1656"/>
    <x v="2"/>
    <x v="13"/>
    <n v="99.4"/>
    <x v="1319"/>
    <x v="61"/>
    <d v="2025-03-06T00:00:00"/>
    <x v="1"/>
    <x v="0"/>
    <x v="2"/>
    <x v="0"/>
    <x v="3"/>
    <x v="2"/>
    <x v="9"/>
    <x v="1"/>
  </r>
  <r>
    <x v="1657"/>
    <x v="11"/>
    <x v="0"/>
    <n v="38.700000000000003"/>
    <x v="1320"/>
    <x v="61"/>
    <d v="2025-03-04T00:00:00"/>
    <x v="2"/>
    <x v="2"/>
    <x v="0"/>
    <x v="0"/>
    <x v="25"/>
    <x v="3"/>
    <x v="9"/>
    <x v="2"/>
  </r>
  <r>
    <x v="1658"/>
    <x v="4"/>
    <x v="1"/>
    <n v="35.5"/>
    <x v="1321"/>
    <x v="61"/>
    <d v="2025-03-06T00:00:00"/>
    <x v="1"/>
    <x v="0"/>
    <x v="2"/>
    <x v="0"/>
    <x v="25"/>
    <x v="2"/>
    <x v="9"/>
    <x v="1"/>
  </r>
  <r>
    <x v="1659"/>
    <x v="2"/>
    <x v="12"/>
    <n v="93.3"/>
    <x v="1322"/>
    <x v="61"/>
    <d v="2025-03-06T00:00:00"/>
    <x v="2"/>
    <x v="0"/>
    <x v="2"/>
    <x v="0"/>
    <x v="6"/>
    <x v="2"/>
    <x v="9"/>
    <x v="2"/>
  </r>
  <r>
    <x v="1660"/>
    <x v="16"/>
    <x v="0"/>
    <n v="31.4"/>
    <x v="1323"/>
    <x v="61"/>
    <d v="2025-03-08T00:00:00"/>
    <x v="2"/>
    <x v="2"/>
    <x v="2"/>
    <x v="0"/>
    <x v="6"/>
    <x v="0"/>
    <x v="9"/>
    <x v="2"/>
  </r>
  <r>
    <x v="1661"/>
    <x v="1"/>
    <x v="0"/>
    <n v="85.9"/>
    <x v="1324"/>
    <x v="61"/>
    <d v="2025-03-06T00:00:00"/>
    <x v="1"/>
    <x v="1"/>
    <x v="0"/>
    <x v="0"/>
    <x v="6"/>
    <x v="2"/>
    <x v="9"/>
    <x v="1"/>
  </r>
  <r>
    <x v="1662"/>
    <x v="6"/>
    <x v="8"/>
    <n v="41.7"/>
    <x v="335"/>
    <x v="61"/>
    <d v="2025-03-11T00:00:00"/>
    <x v="1"/>
    <x v="0"/>
    <x v="2"/>
    <x v="0"/>
    <x v="7"/>
    <x v="9"/>
    <x v="9"/>
    <x v="1"/>
  </r>
  <r>
    <x v="1663"/>
    <x v="8"/>
    <x v="12"/>
    <n v="31.5"/>
    <x v="624"/>
    <x v="61"/>
    <d v="2025-03-04T00:00:00"/>
    <x v="2"/>
    <x v="0"/>
    <x v="0"/>
    <x v="0"/>
    <x v="7"/>
    <x v="3"/>
    <x v="9"/>
    <x v="2"/>
  </r>
  <r>
    <x v="1664"/>
    <x v="8"/>
    <x v="1"/>
    <n v="36.299999999999997"/>
    <x v="1325"/>
    <x v="61"/>
    <d v="2025-03-04T00:00:00"/>
    <x v="2"/>
    <x v="0"/>
    <x v="4"/>
    <x v="0"/>
    <x v="8"/>
    <x v="3"/>
    <x v="9"/>
    <x v="2"/>
  </r>
  <r>
    <x v="1665"/>
    <x v="8"/>
    <x v="2"/>
    <n v="33.4"/>
    <x v="1326"/>
    <x v="61"/>
    <d v="2025-03-04T00:00:00"/>
    <x v="2"/>
    <x v="3"/>
    <x v="0"/>
    <x v="0"/>
    <x v="17"/>
    <x v="3"/>
    <x v="9"/>
    <x v="2"/>
  </r>
  <r>
    <x v="1666"/>
    <x v="2"/>
    <x v="2"/>
    <n v="65.2"/>
    <x v="1327"/>
    <x v="61"/>
    <d v="2025-03-04T00:00:00"/>
    <x v="2"/>
    <x v="2"/>
    <x v="2"/>
    <x v="0"/>
    <x v="26"/>
    <x v="3"/>
    <x v="9"/>
    <x v="2"/>
  </r>
  <r>
    <x v="1667"/>
    <x v="8"/>
    <x v="11"/>
    <n v="65.5"/>
    <x v="1328"/>
    <x v="61"/>
    <d v="2025-03-06T00:00:00"/>
    <x v="2"/>
    <x v="0"/>
    <x v="2"/>
    <x v="0"/>
    <x v="9"/>
    <x v="2"/>
    <x v="9"/>
    <x v="2"/>
  </r>
  <r>
    <x v="1668"/>
    <x v="6"/>
    <x v="2"/>
    <n v="52.8"/>
    <x v="1329"/>
    <x v="61"/>
    <d v="2025-03-06T00:00:00"/>
    <x v="1"/>
    <x v="2"/>
    <x v="0"/>
    <x v="0"/>
    <x v="9"/>
    <x v="2"/>
    <x v="9"/>
    <x v="1"/>
  </r>
  <r>
    <x v="1669"/>
    <x v="9"/>
    <x v="9"/>
    <n v="24"/>
    <x v="160"/>
    <x v="61"/>
    <d v="2025-03-07T00:00:00"/>
    <x v="1"/>
    <x v="0"/>
    <x v="1"/>
    <x v="0"/>
    <x v="11"/>
    <x v="5"/>
    <x v="9"/>
    <x v="1"/>
  </r>
  <r>
    <x v="1670"/>
    <x v="3"/>
    <x v="2"/>
    <n v="51.2"/>
    <x v="1330"/>
    <x v="61"/>
    <d v="2025-03-04T00:00:00"/>
    <x v="2"/>
    <x v="0"/>
    <x v="0"/>
    <x v="0"/>
    <x v="32"/>
    <x v="3"/>
    <x v="9"/>
    <x v="2"/>
  </r>
  <r>
    <x v="1671"/>
    <x v="5"/>
    <x v="2"/>
    <n v="28.3"/>
    <x v="1331"/>
    <x v="61"/>
    <d v="2025-03-05T00:00:00"/>
    <x v="1"/>
    <x v="4"/>
    <x v="0"/>
    <x v="0"/>
    <x v="19"/>
    <x v="1"/>
    <x v="9"/>
    <x v="1"/>
  </r>
  <r>
    <x v="1672"/>
    <x v="6"/>
    <x v="2"/>
    <n v="42.3"/>
    <x v="1332"/>
    <x v="61"/>
    <d v="2025-03-03T00:00:00"/>
    <x v="2"/>
    <x v="2"/>
    <x v="1"/>
    <x v="0"/>
    <x v="19"/>
    <x v="7"/>
    <x v="9"/>
    <x v="2"/>
  </r>
  <r>
    <x v="1673"/>
    <x v="2"/>
    <x v="8"/>
    <n v="163.30000000000001"/>
    <x v="1333"/>
    <x v="62"/>
    <d v="2025-03-05T00:00:00"/>
    <x v="2"/>
    <x v="1"/>
    <x v="0"/>
    <x v="0"/>
    <x v="13"/>
    <x v="3"/>
    <x v="9"/>
    <x v="2"/>
  </r>
  <r>
    <x v="1674"/>
    <x v="6"/>
    <x v="3"/>
    <n v="47.3"/>
    <x v="1334"/>
    <x v="62"/>
    <d v="2025-03-07T00:00:00"/>
    <x v="2"/>
    <x v="4"/>
    <x v="1"/>
    <x v="0"/>
    <x v="21"/>
    <x v="2"/>
    <x v="9"/>
    <x v="2"/>
  </r>
  <r>
    <x v="1675"/>
    <x v="8"/>
    <x v="27"/>
    <n v="27.3"/>
    <x v="1335"/>
    <x v="62"/>
    <d v="2025-03-05T00:00:00"/>
    <x v="2"/>
    <x v="2"/>
    <x v="0"/>
    <x v="0"/>
    <x v="21"/>
    <x v="3"/>
    <x v="9"/>
    <x v="2"/>
  </r>
  <r>
    <x v="1676"/>
    <x v="10"/>
    <x v="13"/>
    <n v="34.9"/>
    <x v="1336"/>
    <x v="62"/>
    <d v="2025-03-15T00:00:00"/>
    <x v="2"/>
    <x v="0"/>
    <x v="0"/>
    <x v="0"/>
    <x v="21"/>
    <x v="11"/>
    <x v="9"/>
    <x v="2"/>
  </r>
  <r>
    <x v="1677"/>
    <x v="6"/>
    <x v="1"/>
    <n v="53.9"/>
    <x v="215"/>
    <x v="62"/>
    <d v="2025-03-07T00:00:00"/>
    <x v="3"/>
    <x v="0"/>
    <x v="4"/>
    <x v="0"/>
    <x v="1"/>
    <x v="2"/>
    <x v="9"/>
    <x v="3"/>
  </r>
  <r>
    <x v="1678"/>
    <x v="2"/>
    <x v="1"/>
    <n v="87.2"/>
    <x v="1337"/>
    <x v="62"/>
    <d v="2025-03-05T00:00:00"/>
    <x v="2"/>
    <x v="0"/>
    <x v="1"/>
    <x v="0"/>
    <x v="1"/>
    <x v="3"/>
    <x v="9"/>
    <x v="2"/>
  </r>
  <r>
    <x v="1679"/>
    <x v="15"/>
    <x v="0"/>
    <n v="58.8"/>
    <x v="572"/>
    <x v="62"/>
    <d v="2025-03-06T00:00:00"/>
    <x v="2"/>
    <x v="2"/>
    <x v="0"/>
    <x v="0"/>
    <x v="44"/>
    <x v="1"/>
    <x v="9"/>
    <x v="2"/>
  </r>
  <r>
    <x v="1680"/>
    <x v="2"/>
    <x v="3"/>
    <n v="125.5"/>
    <x v="1338"/>
    <x v="62"/>
    <d v="2025-03-05T00:00:00"/>
    <x v="1"/>
    <x v="2"/>
    <x v="4"/>
    <x v="0"/>
    <x v="22"/>
    <x v="3"/>
    <x v="9"/>
    <x v="1"/>
  </r>
  <r>
    <x v="1681"/>
    <x v="1"/>
    <x v="12"/>
    <n v="124.6"/>
    <x v="1339"/>
    <x v="62"/>
    <d v="2025-03-06T00:00:00"/>
    <x v="2"/>
    <x v="0"/>
    <x v="1"/>
    <x v="0"/>
    <x v="22"/>
    <x v="1"/>
    <x v="9"/>
    <x v="2"/>
  </r>
  <r>
    <x v="1682"/>
    <x v="1"/>
    <x v="3"/>
    <n v="39.9"/>
    <x v="1340"/>
    <x v="62"/>
    <d v="2025-03-05T00:00:00"/>
    <x v="1"/>
    <x v="2"/>
    <x v="1"/>
    <x v="0"/>
    <x v="3"/>
    <x v="3"/>
    <x v="9"/>
    <x v="1"/>
  </r>
  <r>
    <x v="1683"/>
    <x v="6"/>
    <x v="0"/>
    <n v="94.6"/>
    <x v="422"/>
    <x v="62"/>
    <d v="2025-03-18T00:00:00"/>
    <x v="2"/>
    <x v="0"/>
    <x v="1"/>
    <x v="0"/>
    <x v="3"/>
    <x v="12"/>
    <x v="9"/>
    <x v="2"/>
  </r>
  <r>
    <x v="1684"/>
    <x v="2"/>
    <x v="1"/>
    <n v="149.6"/>
    <x v="1341"/>
    <x v="62"/>
    <d v="2025-03-05T00:00:00"/>
    <x v="2"/>
    <x v="0"/>
    <x v="0"/>
    <x v="0"/>
    <x v="3"/>
    <x v="3"/>
    <x v="9"/>
    <x v="2"/>
  </r>
  <r>
    <x v="1685"/>
    <x v="8"/>
    <x v="0"/>
    <n v="52.2"/>
    <x v="1342"/>
    <x v="62"/>
    <d v="2025-03-05T00:00:00"/>
    <x v="0"/>
    <x v="1"/>
    <x v="0"/>
    <x v="0"/>
    <x v="3"/>
    <x v="3"/>
    <x v="9"/>
    <x v="0"/>
  </r>
  <r>
    <x v="1686"/>
    <x v="6"/>
    <x v="1"/>
    <n v="96.5"/>
    <x v="1343"/>
    <x v="62"/>
    <d v="2025-03-05T00:00:00"/>
    <x v="2"/>
    <x v="1"/>
    <x v="1"/>
    <x v="0"/>
    <x v="3"/>
    <x v="3"/>
    <x v="9"/>
    <x v="2"/>
  </r>
  <r>
    <x v="1687"/>
    <x v="8"/>
    <x v="1"/>
    <n v="79.8"/>
    <x v="1344"/>
    <x v="62"/>
    <d v="2025-03-06T00:00:00"/>
    <x v="2"/>
    <x v="0"/>
    <x v="1"/>
    <x v="0"/>
    <x v="3"/>
    <x v="1"/>
    <x v="9"/>
    <x v="2"/>
  </r>
  <r>
    <x v="1688"/>
    <x v="8"/>
    <x v="2"/>
    <n v="35.6"/>
    <x v="694"/>
    <x v="62"/>
    <d v="2025-03-05T00:00:00"/>
    <x v="2"/>
    <x v="2"/>
    <x v="0"/>
    <x v="0"/>
    <x v="3"/>
    <x v="3"/>
    <x v="9"/>
    <x v="2"/>
  </r>
  <r>
    <x v="1689"/>
    <x v="16"/>
    <x v="0"/>
    <n v="50.2"/>
    <x v="486"/>
    <x v="62"/>
    <d v="2025-03-05T00:00:00"/>
    <x v="2"/>
    <x v="1"/>
    <x v="2"/>
    <x v="0"/>
    <x v="3"/>
    <x v="3"/>
    <x v="9"/>
    <x v="2"/>
  </r>
  <r>
    <x v="1690"/>
    <x v="1"/>
    <x v="2"/>
    <n v="55.3"/>
    <x v="1345"/>
    <x v="62"/>
    <d v="2025-03-07T00:00:00"/>
    <x v="2"/>
    <x v="0"/>
    <x v="4"/>
    <x v="0"/>
    <x v="40"/>
    <x v="2"/>
    <x v="9"/>
    <x v="2"/>
  </r>
  <r>
    <x v="1691"/>
    <x v="6"/>
    <x v="3"/>
    <n v="104.5"/>
    <x v="1346"/>
    <x v="62"/>
    <d v="2025-03-08T00:00:00"/>
    <x v="2"/>
    <x v="1"/>
    <x v="0"/>
    <x v="0"/>
    <x v="7"/>
    <x v="5"/>
    <x v="9"/>
    <x v="2"/>
  </r>
  <r>
    <x v="1692"/>
    <x v="6"/>
    <x v="12"/>
    <n v="66.5"/>
    <x v="751"/>
    <x v="62"/>
    <d v="2025-03-06T00:00:00"/>
    <x v="1"/>
    <x v="1"/>
    <x v="0"/>
    <x v="0"/>
    <x v="7"/>
    <x v="1"/>
    <x v="9"/>
    <x v="1"/>
  </r>
  <r>
    <x v="1693"/>
    <x v="10"/>
    <x v="8"/>
    <n v="38.299999999999997"/>
    <x v="1347"/>
    <x v="62"/>
    <d v="2025-03-05T00:00:00"/>
    <x v="2"/>
    <x v="0"/>
    <x v="0"/>
    <x v="0"/>
    <x v="7"/>
    <x v="3"/>
    <x v="9"/>
    <x v="2"/>
  </r>
  <r>
    <x v="1694"/>
    <x v="6"/>
    <x v="2"/>
    <n v="63.8"/>
    <x v="1348"/>
    <x v="62"/>
    <d v="2025-03-07T00:00:00"/>
    <x v="2"/>
    <x v="1"/>
    <x v="0"/>
    <x v="0"/>
    <x v="8"/>
    <x v="2"/>
    <x v="9"/>
    <x v="2"/>
  </r>
  <r>
    <x v="1695"/>
    <x v="15"/>
    <x v="0"/>
    <n v="21.4"/>
    <x v="1349"/>
    <x v="62"/>
    <d v="2025-03-04T00:00:00"/>
    <x v="1"/>
    <x v="4"/>
    <x v="0"/>
    <x v="0"/>
    <x v="8"/>
    <x v="7"/>
    <x v="9"/>
    <x v="1"/>
  </r>
  <r>
    <x v="1696"/>
    <x v="8"/>
    <x v="12"/>
    <n v="44.1"/>
    <x v="1350"/>
    <x v="62"/>
    <d v="2025-03-06T00:00:00"/>
    <x v="2"/>
    <x v="2"/>
    <x v="0"/>
    <x v="0"/>
    <x v="8"/>
    <x v="1"/>
    <x v="9"/>
    <x v="2"/>
  </r>
  <r>
    <x v="1697"/>
    <x v="5"/>
    <x v="8"/>
    <n v="57.6"/>
    <x v="1351"/>
    <x v="62"/>
    <d v="2025-03-06T00:00:00"/>
    <x v="1"/>
    <x v="1"/>
    <x v="2"/>
    <x v="0"/>
    <x v="8"/>
    <x v="1"/>
    <x v="9"/>
    <x v="1"/>
  </r>
  <r>
    <x v="1698"/>
    <x v="9"/>
    <x v="1"/>
    <n v="20.3"/>
    <x v="1352"/>
    <x v="62"/>
    <d v="2025-03-10T00:00:00"/>
    <x v="2"/>
    <x v="3"/>
    <x v="0"/>
    <x v="0"/>
    <x v="8"/>
    <x v="4"/>
    <x v="9"/>
    <x v="2"/>
  </r>
  <r>
    <x v="1699"/>
    <x v="8"/>
    <x v="0"/>
    <n v="22.9"/>
    <x v="1246"/>
    <x v="62"/>
    <d v="2025-03-06T00:00:00"/>
    <x v="2"/>
    <x v="2"/>
    <x v="2"/>
    <x v="0"/>
    <x v="8"/>
    <x v="1"/>
    <x v="9"/>
    <x v="2"/>
  </r>
  <r>
    <x v="1700"/>
    <x v="6"/>
    <x v="12"/>
    <n v="105.9"/>
    <x v="1353"/>
    <x v="62"/>
    <d v="2025-03-05T00:00:00"/>
    <x v="2"/>
    <x v="1"/>
    <x v="2"/>
    <x v="0"/>
    <x v="17"/>
    <x v="3"/>
    <x v="9"/>
    <x v="2"/>
  </r>
  <r>
    <x v="1701"/>
    <x v="1"/>
    <x v="11"/>
    <n v="37.4"/>
    <x v="1354"/>
    <x v="62"/>
    <d v="2025-03-08T00:00:00"/>
    <x v="1"/>
    <x v="1"/>
    <x v="0"/>
    <x v="0"/>
    <x v="11"/>
    <x v="5"/>
    <x v="9"/>
    <x v="1"/>
  </r>
  <r>
    <x v="1702"/>
    <x v="18"/>
    <x v="1"/>
    <n v="79"/>
    <x v="1355"/>
    <x v="62"/>
    <d v="2025-03-05T00:00:00"/>
    <x v="1"/>
    <x v="2"/>
    <x v="0"/>
    <x v="0"/>
    <x v="28"/>
    <x v="3"/>
    <x v="9"/>
    <x v="1"/>
  </r>
  <r>
    <x v="1703"/>
    <x v="0"/>
    <x v="2"/>
    <n v="19.3"/>
    <x v="1356"/>
    <x v="62"/>
    <d v="2025-03-05T00:00:00"/>
    <x v="2"/>
    <x v="4"/>
    <x v="0"/>
    <x v="0"/>
    <x v="21"/>
    <x v="3"/>
    <x v="9"/>
    <x v="2"/>
  </r>
  <r>
    <x v="1704"/>
    <x v="0"/>
    <x v="0"/>
    <n v="24"/>
    <x v="835"/>
    <x v="62"/>
    <d v="2025-03-05T00:00:00"/>
    <x v="2"/>
    <x v="1"/>
    <x v="0"/>
    <x v="0"/>
    <x v="1"/>
    <x v="3"/>
    <x v="9"/>
    <x v="2"/>
  </r>
  <r>
    <x v="1705"/>
    <x v="6"/>
    <x v="9"/>
    <n v="71.3"/>
    <x v="1357"/>
    <x v="62"/>
    <d v="2025-03-07T00:00:00"/>
    <x v="2"/>
    <x v="2"/>
    <x v="0"/>
    <x v="0"/>
    <x v="2"/>
    <x v="2"/>
    <x v="9"/>
    <x v="2"/>
  </r>
  <r>
    <x v="1706"/>
    <x v="5"/>
    <x v="1"/>
    <n v="166.2"/>
    <x v="1358"/>
    <x v="62"/>
    <d v="2025-03-05T00:00:00"/>
    <x v="1"/>
    <x v="0"/>
    <x v="2"/>
    <x v="0"/>
    <x v="50"/>
    <x v="3"/>
    <x v="9"/>
    <x v="1"/>
  </r>
  <r>
    <x v="1707"/>
    <x v="6"/>
    <x v="0"/>
    <n v="81"/>
    <x v="969"/>
    <x v="62"/>
    <d v="2025-03-05T00:00:00"/>
    <x v="2"/>
    <x v="2"/>
    <x v="1"/>
    <x v="0"/>
    <x v="3"/>
    <x v="3"/>
    <x v="9"/>
    <x v="2"/>
  </r>
  <r>
    <x v="1708"/>
    <x v="10"/>
    <x v="13"/>
    <n v="38.5"/>
    <x v="1359"/>
    <x v="62"/>
    <d v="2025-03-08T00:00:00"/>
    <x v="2"/>
    <x v="0"/>
    <x v="0"/>
    <x v="0"/>
    <x v="3"/>
    <x v="5"/>
    <x v="9"/>
    <x v="2"/>
  </r>
  <r>
    <x v="1709"/>
    <x v="6"/>
    <x v="0"/>
    <n v="86.1"/>
    <x v="1360"/>
    <x v="62"/>
    <d v="2025-03-06T00:00:00"/>
    <x v="2"/>
    <x v="3"/>
    <x v="0"/>
    <x v="0"/>
    <x v="3"/>
    <x v="1"/>
    <x v="9"/>
    <x v="2"/>
  </r>
  <r>
    <x v="1710"/>
    <x v="2"/>
    <x v="9"/>
    <n v="51"/>
    <x v="951"/>
    <x v="62"/>
    <d v="2025-03-05T00:00:00"/>
    <x v="1"/>
    <x v="0"/>
    <x v="1"/>
    <x v="0"/>
    <x v="3"/>
    <x v="3"/>
    <x v="9"/>
    <x v="1"/>
  </r>
  <r>
    <x v="1711"/>
    <x v="3"/>
    <x v="9"/>
    <n v="115.4"/>
    <x v="1361"/>
    <x v="62"/>
    <d v="2025-03-05T00:00:00"/>
    <x v="1"/>
    <x v="0"/>
    <x v="0"/>
    <x v="0"/>
    <x v="3"/>
    <x v="3"/>
    <x v="9"/>
    <x v="1"/>
  </r>
  <r>
    <x v="1712"/>
    <x v="6"/>
    <x v="12"/>
    <n v="176.5"/>
    <x v="1362"/>
    <x v="62"/>
    <d v="2025-03-05T00:00:00"/>
    <x v="2"/>
    <x v="2"/>
    <x v="2"/>
    <x v="0"/>
    <x v="3"/>
    <x v="3"/>
    <x v="9"/>
    <x v="2"/>
  </r>
  <r>
    <x v="1713"/>
    <x v="7"/>
    <x v="2"/>
    <n v="48.9"/>
    <x v="1363"/>
    <x v="62"/>
    <d v="2025-03-05T00:00:00"/>
    <x v="1"/>
    <x v="4"/>
    <x v="0"/>
    <x v="0"/>
    <x v="3"/>
    <x v="3"/>
    <x v="9"/>
    <x v="1"/>
  </r>
  <r>
    <x v="1714"/>
    <x v="8"/>
    <x v="2"/>
    <n v="18.100000000000001"/>
    <x v="1364"/>
    <x v="62"/>
    <d v="2025-03-11T00:00:00"/>
    <x v="2"/>
    <x v="1"/>
    <x v="2"/>
    <x v="0"/>
    <x v="29"/>
    <x v="6"/>
    <x v="9"/>
    <x v="2"/>
  </r>
  <r>
    <x v="1715"/>
    <x v="2"/>
    <x v="1"/>
    <n v="118.5"/>
    <x v="1365"/>
    <x v="62"/>
    <d v="2025-03-07T00:00:00"/>
    <x v="1"/>
    <x v="1"/>
    <x v="2"/>
    <x v="0"/>
    <x v="16"/>
    <x v="2"/>
    <x v="9"/>
    <x v="1"/>
  </r>
  <r>
    <x v="1716"/>
    <x v="15"/>
    <x v="3"/>
    <n v="59.1"/>
    <x v="1366"/>
    <x v="62"/>
    <d v="2025-03-05T00:00:00"/>
    <x v="2"/>
    <x v="3"/>
    <x v="0"/>
    <x v="0"/>
    <x v="25"/>
    <x v="3"/>
    <x v="9"/>
    <x v="2"/>
  </r>
  <r>
    <x v="1717"/>
    <x v="4"/>
    <x v="0"/>
    <n v="21.2"/>
    <x v="333"/>
    <x v="62"/>
    <d v="2025-03-05T00:00:00"/>
    <x v="2"/>
    <x v="0"/>
    <x v="1"/>
    <x v="0"/>
    <x v="6"/>
    <x v="3"/>
    <x v="9"/>
    <x v="2"/>
  </r>
  <r>
    <x v="1718"/>
    <x v="6"/>
    <x v="1"/>
    <n v="68.8"/>
    <x v="1367"/>
    <x v="62"/>
    <d v="2025-03-09T00:00:00"/>
    <x v="2"/>
    <x v="3"/>
    <x v="2"/>
    <x v="0"/>
    <x v="6"/>
    <x v="0"/>
    <x v="9"/>
    <x v="2"/>
  </r>
  <r>
    <x v="1719"/>
    <x v="6"/>
    <x v="1"/>
    <n v="65.400000000000006"/>
    <x v="1272"/>
    <x v="62"/>
    <d v="2025-03-08T00:00:00"/>
    <x v="2"/>
    <x v="0"/>
    <x v="0"/>
    <x v="0"/>
    <x v="6"/>
    <x v="5"/>
    <x v="9"/>
    <x v="2"/>
  </r>
  <r>
    <x v="1720"/>
    <x v="12"/>
    <x v="9"/>
    <n v="66.3"/>
    <x v="1278"/>
    <x v="63"/>
    <d v="2025-03-08T00:00:00"/>
    <x v="2"/>
    <x v="4"/>
    <x v="0"/>
    <x v="0"/>
    <x v="6"/>
    <x v="2"/>
    <x v="9"/>
    <x v="2"/>
  </r>
  <r>
    <x v="1721"/>
    <x v="6"/>
    <x v="2"/>
    <n v="97.5"/>
    <x v="1368"/>
    <x v="63"/>
    <d v="2025-03-05T00:00:00"/>
    <x v="1"/>
    <x v="3"/>
    <x v="0"/>
    <x v="0"/>
    <x v="8"/>
    <x v="7"/>
    <x v="9"/>
    <x v="1"/>
  </r>
  <r>
    <x v="1722"/>
    <x v="1"/>
    <x v="1"/>
    <n v="44"/>
    <x v="1155"/>
    <x v="63"/>
    <d v="2025-03-08T00:00:00"/>
    <x v="2"/>
    <x v="1"/>
    <x v="2"/>
    <x v="0"/>
    <x v="8"/>
    <x v="2"/>
    <x v="9"/>
    <x v="2"/>
  </r>
  <r>
    <x v="1723"/>
    <x v="0"/>
    <x v="0"/>
    <n v="21.9"/>
    <x v="731"/>
    <x v="63"/>
    <d v="2025-03-06T00:00:00"/>
    <x v="1"/>
    <x v="0"/>
    <x v="0"/>
    <x v="0"/>
    <x v="8"/>
    <x v="3"/>
    <x v="9"/>
    <x v="1"/>
  </r>
  <r>
    <x v="1724"/>
    <x v="4"/>
    <x v="3"/>
    <n v="21.5"/>
    <x v="379"/>
    <x v="63"/>
    <d v="2025-03-07T00:00:00"/>
    <x v="2"/>
    <x v="1"/>
    <x v="2"/>
    <x v="0"/>
    <x v="9"/>
    <x v="1"/>
    <x v="9"/>
    <x v="2"/>
  </r>
  <r>
    <x v="1725"/>
    <x v="12"/>
    <x v="13"/>
    <n v="133"/>
    <x v="1369"/>
    <x v="63"/>
    <d v="2025-03-06T00:00:00"/>
    <x v="3"/>
    <x v="0"/>
    <x v="2"/>
    <x v="0"/>
    <x v="10"/>
    <x v="3"/>
    <x v="9"/>
    <x v="3"/>
  </r>
  <r>
    <x v="1726"/>
    <x v="8"/>
    <x v="1"/>
    <n v="47.7"/>
    <x v="233"/>
    <x v="63"/>
    <d v="2025-03-09T00:00:00"/>
    <x v="1"/>
    <x v="0"/>
    <x v="2"/>
    <x v="0"/>
    <x v="10"/>
    <x v="5"/>
    <x v="9"/>
    <x v="1"/>
  </r>
  <r>
    <x v="1727"/>
    <x v="16"/>
    <x v="2"/>
    <n v="58.1"/>
    <x v="889"/>
    <x v="63"/>
    <d v="2025-03-06T00:00:00"/>
    <x v="2"/>
    <x v="0"/>
    <x v="0"/>
    <x v="0"/>
    <x v="11"/>
    <x v="3"/>
    <x v="9"/>
    <x v="2"/>
  </r>
  <r>
    <x v="1728"/>
    <x v="12"/>
    <x v="12"/>
    <n v="66.599999999999994"/>
    <x v="1370"/>
    <x v="63"/>
    <d v="2025-03-06T00:00:00"/>
    <x v="0"/>
    <x v="0"/>
    <x v="0"/>
    <x v="0"/>
    <x v="11"/>
    <x v="3"/>
    <x v="9"/>
    <x v="0"/>
  </r>
  <r>
    <x v="1729"/>
    <x v="9"/>
    <x v="0"/>
    <n v="24.1"/>
    <x v="1057"/>
    <x v="63"/>
    <d v="2025-03-08T00:00:00"/>
    <x v="1"/>
    <x v="2"/>
    <x v="1"/>
    <x v="0"/>
    <x v="19"/>
    <x v="2"/>
    <x v="9"/>
    <x v="1"/>
  </r>
  <r>
    <x v="1730"/>
    <x v="10"/>
    <x v="9"/>
    <n v="51.5"/>
    <x v="1371"/>
    <x v="63"/>
    <d v="2025-03-10T00:00:00"/>
    <x v="2"/>
    <x v="0"/>
    <x v="0"/>
    <x v="0"/>
    <x v="13"/>
    <x v="0"/>
    <x v="9"/>
    <x v="2"/>
  </r>
  <r>
    <x v="1731"/>
    <x v="0"/>
    <x v="5"/>
    <n v="25.8"/>
    <x v="674"/>
    <x v="63"/>
    <d v="2025-03-09T00:00:00"/>
    <x v="2"/>
    <x v="3"/>
    <x v="4"/>
    <x v="0"/>
    <x v="21"/>
    <x v="5"/>
    <x v="9"/>
    <x v="2"/>
  </r>
  <r>
    <x v="1732"/>
    <x v="9"/>
    <x v="12"/>
    <n v="47.7"/>
    <x v="1372"/>
    <x v="63"/>
    <d v="2025-03-05T00:00:00"/>
    <x v="2"/>
    <x v="0"/>
    <x v="1"/>
    <x v="0"/>
    <x v="21"/>
    <x v="7"/>
    <x v="9"/>
    <x v="2"/>
  </r>
  <r>
    <x v="1733"/>
    <x v="7"/>
    <x v="9"/>
    <n v="73.599999999999994"/>
    <x v="1373"/>
    <x v="63"/>
    <d v="2025-03-09T00:00:00"/>
    <x v="1"/>
    <x v="1"/>
    <x v="0"/>
    <x v="0"/>
    <x v="21"/>
    <x v="5"/>
    <x v="9"/>
    <x v="1"/>
  </r>
  <r>
    <x v="1734"/>
    <x v="5"/>
    <x v="3"/>
    <n v="91.2"/>
    <x v="1374"/>
    <x v="63"/>
    <d v="2025-03-06T00:00:00"/>
    <x v="1"/>
    <x v="1"/>
    <x v="2"/>
    <x v="0"/>
    <x v="21"/>
    <x v="3"/>
    <x v="9"/>
    <x v="1"/>
  </r>
  <r>
    <x v="1735"/>
    <x v="1"/>
    <x v="8"/>
    <n v="36.200000000000003"/>
    <x v="1375"/>
    <x v="63"/>
    <d v="2025-03-05T00:00:00"/>
    <x v="1"/>
    <x v="2"/>
    <x v="2"/>
    <x v="0"/>
    <x v="1"/>
    <x v="7"/>
    <x v="9"/>
    <x v="1"/>
  </r>
  <r>
    <x v="1736"/>
    <x v="9"/>
    <x v="8"/>
    <n v="98"/>
    <x v="1376"/>
    <x v="63"/>
    <d v="2025-03-09T00:00:00"/>
    <x v="2"/>
    <x v="2"/>
    <x v="0"/>
    <x v="0"/>
    <x v="2"/>
    <x v="5"/>
    <x v="9"/>
    <x v="2"/>
  </r>
  <r>
    <x v="1737"/>
    <x v="1"/>
    <x v="8"/>
    <n v="43.6"/>
    <x v="1377"/>
    <x v="63"/>
    <d v="2025-03-06T00:00:00"/>
    <x v="2"/>
    <x v="2"/>
    <x v="0"/>
    <x v="0"/>
    <x v="22"/>
    <x v="3"/>
    <x v="9"/>
    <x v="2"/>
  </r>
  <r>
    <x v="1738"/>
    <x v="8"/>
    <x v="7"/>
    <n v="37.799999999999997"/>
    <x v="1378"/>
    <x v="63"/>
    <d v="2025-03-05T00:00:00"/>
    <x v="3"/>
    <x v="0"/>
    <x v="0"/>
    <x v="0"/>
    <x v="50"/>
    <x v="7"/>
    <x v="9"/>
    <x v="3"/>
  </r>
  <r>
    <x v="1739"/>
    <x v="17"/>
    <x v="9"/>
    <n v="63.7"/>
    <x v="46"/>
    <x v="63"/>
    <d v="2025-03-08T00:00:00"/>
    <x v="2"/>
    <x v="2"/>
    <x v="1"/>
    <x v="0"/>
    <x v="3"/>
    <x v="2"/>
    <x v="9"/>
    <x v="2"/>
  </r>
  <r>
    <x v="1740"/>
    <x v="5"/>
    <x v="11"/>
    <n v="62.9"/>
    <x v="1379"/>
    <x v="63"/>
    <d v="2025-03-10T00:00:00"/>
    <x v="1"/>
    <x v="3"/>
    <x v="2"/>
    <x v="0"/>
    <x v="3"/>
    <x v="0"/>
    <x v="9"/>
    <x v="1"/>
  </r>
  <r>
    <x v="1741"/>
    <x v="6"/>
    <x v="3"/>
    <n v="61.7"/>
    <x v="245"/>
    <x v="63"/>
    <d v="2025-03-08T00:00:00"/>
    <x v="2"/>
    <x v="2"/>
    <x v="2"/>
    <x v="0"/>
    <x v="3"/>
    <x v="2"/>
    <x v="9"/>
    <x v="2"/>
  </r>
  <r>
    <x v="1742"/>
    <x v="18"/>
    <x v="21"/>
    <n v="36.5"/>
    <x v="1380"/>
    <x v="63"/>
    <d v="2025-03-06T00:00:00"/>
    <x v="1"/>
    <x v="0"/>
    <x v="2"/>
    <x v="0"/>
    <x v="3"/>
    <x v="3"/>
    <x v="9"/>
    <x v="1"/>
  </r>
  <r>
    <x v="1743"/>
    <x v="11"/>
    <x v="2"/>
    <n v="98.6"/>
    <x v="1381"/>
    <x v="63"/>
    <d v="2025-03-08T00:00:00"/>
    <x v="3"/>
    <x v="0"/>
    <x v="4"/>
    <x v="0"/>
    <x v="3"/>
    <x v="2"/>
    <x v="9"/>
    <x v="3"/>
  </r>
  <r>
    <x v="1744"/>
    <x v="8"/>
    <x v="1"/>
    <n v="19.2"/>
    <x v="1139"/>
    <x v="63"/>
    <d v="2025-03-15T00:00:00"/>
    <x v="1"/>
    <x v="0"/>
    <x v="0"/>
    <x v="0"/>
    <x v="3"/>
    <x v="14"/>
    <x v="9"/>
    <x v="1"/>
  </r>
  <r>
    <x v="1745"/>
    <x v="3"/>
    <x v="13"/>
    <n v="55.6"/>
    <x v="335"/>
    <x v="63"/>
    <d v="2025-03-09T00:00:00"/>
    <x v="2"/>
    <x v="0"/>
    <x v="2"/>
    <x v="0"/>
    <x v="3"/>
    <x v="5"/>
    <x v="9"/>
    <x v="2"/>
  </r>
  <r>
    <x v="1746"/>
    <x v="5"/>
    <x v="13"/>
    <n v="56.4"/>
    <x v="1382"/>
    <x v="63"/>
    <d v="2025-03-06T00:00:00"/>
    <x v="2"/>
    <x v="1"/>
    <x v="0"/>
    <x v="0"/>
    <x v="3"/>
    <x v="3"/>
    <x v="9"/>
    <x v="2"/>
  </r>
  <r>
    <x v="1747"/>
    <x v="4"/>
    <x v="8"/>
    <n v="43.1"/>
    <x v="1383"/>
    <x v="63"/>
    <d v="2025-03-09T00:00:00"/>
    <x v="2"/>
    <x v="4"/>
    <x v="0"/>
    <x v="0"/>
    <x v="3"/>
    <x v="5"/>
    <x v="9"/>
    <x v="2"/>
  </r>
  <r>
    <x v="1748"/>
    <x v="1"/>
    <x v="1"/>
    <n v="77.3"/>
    <x v="1384"/>
    <x v="63"/>
    <d v="2025-03-07T00:00:00"/>
    <x v="1"/>
    <x v="0"/>
    <x v="0"/>
    <x v="0"/>
    <x v="6"/>
    <x v="1"/>
    <x v="9"/>
    <x v="1"/>
  </r>
  <r>
    <x v="1749"/>
    <x v="9"/>
    <x v="8"/>
    <n v="38.299999999999997"/>
    <x v="1347"/>
    <x v="63"/>
    <d v="2025-03-06T00:00:00"/>
    <x v="1"/>
    <x v="0"/>
    <x v="0"/>
    <x v="0"/>
    <x v="7"/>
    <x v="3"/>
    <x v="9"/>
    <x v="1"/>
  </r>
  <r>
    <x v="1750"/>
    <x v="0"/>
    <x v="3"/>
    <n v="16.8"/>
    <x v="557"/>
    <x v="63"/>
    <d v="2025-03-08T00:00:00"/>
    <x v="1"/>
    <x v="2"/>
    <x v="1"/>
    <x v="0"/>
    <x v="8"/>
    <x v="2"/>
    <x v="9"/>
    <x v="1"/>
  </r>
  <r>
    <x v="1751"/>
    <x v="2"/>
    <x v="2"/>
    <n v="63.2"/>
    <x v="1385"/>
    <x v="63"/>
    <d v="2025-03-06T00:00:00"/>
    <x v="2"/>
    <x v="0"/>
    <x v="2"/>
    <x v="0"/>
    <x v="8"/>
    <x v="3"/>
    <x v="9"/>
    <x v="2"/>
  </r>
  <r>
    <x v="1752"/>
    <x v="14"/>
    <x v="44"/>
    <n v="39.700000000000003"/>
    <x v="1386"/>
    <x v="63"/>
    <d v="2025-03-06T00:00:00"/>
    <x v="1"/>
    <x v="0"/>
    <x v="0"/>
    <x v="0"/>
    <x v="8"/>
    <x v="3"/>
    <x v="9"/>
    <x v="1"/>
  </r>
  <r>
    <x v="1753"/>
    <x v="10"/>
    <x v="2"/>
    <n v="45.8"/>
    <x v="1387"/>
    <x v="63"/>
    <d v="2025-03-06T00:00:00"/>
    <x v="2"/>
    <x v="1"/>
    <x v="2"/>
    <x v="0"/>
    <x v="8"/>
    <x v="3"/>
    <x v="9"/>
    <x v="2"/>
  </r>
  <r>
    <x v="1754"/>
    <x v="0"/>
    <x v="13"/>
    <n v="12.4"/>
    <x v="610"/>
    <x v="63"/>
    <d v="2025-03-08T00:00:00"/>
    <x v="1"/>
    <x v="0"/>
    <x v="0"/>
    <x v="0"/>
    <x v="8"/>
    <x v="2"/>
    <x v="9"/>
    <x v="1"/>
  </r>
  <r>
    <x v="1755"/>
    <x v="14"/>
    <x v="2"/>
    <n v="50.8"/>
    <x v="1388"/>
    <x v="64"/>
    <d v="2025-03-06T00:00:00"/>
    <x v="2"/>
    <x v="4"/>
    <x v="0"/>
    <x v="0"/>
    <x v="17"/>
    <x v="7"/>
    <x v="9"/>
    <x v="2"/>
  </r>
  <r>
    <x v="1756"/>
    <x v="9"/>
    <x v="0"/>
    <n v="76"/>
    <x v="998"/>
    <x v="64"/>
    <d v="2025-03-10T00:00:00"/>
    <x v="3"/>
    <x v="2"/>
    <x v="2"/>
    <x v="0"/>
    <x v="17"/>
    <x v="5"/>
    <x v="9"/>
    <x v="3"/>
  </r>
  <r>
    <x v="1757"/>
    <x v="1"/>
    <x v="1"/>
    <n v="51.9"/>
    <x v="1389"/>
    <x v="64"/>
    <d v="2025-03-07T00:00:00"/>
    <x v="1"/>
    <x v="1"/>
    <x v="2"/>
    <x v="0"/>
    <x v="26"/>
    <x v="3"/>
    <x v="9"/>
    <x v="1"/>
  </r>
  <r>
    <x v="1758"/>
    <x v="2"/>
    <x v="1"/>
    <n v="93.4"/>
    <x v="1390"/>
    <x v="64"/>
    <d v="2025-03-13T00:00:00"/>
    <x v="1"/>
    <x v="0"/>
    <x v="3"/>
    <x v="0"/>
    <x v="11"/>
    <x v="6"/>
    <x v="9"/>
    <x v="1"/>
  </r>
  <r>
    <x v="1759"/>
    <x v="7"/>
    <x v="13"/>
    <n v="30.8"/>
    <x v="827"/>
    <x v="64"/>
    <d v="2025-03-09T00:00:00"/>
    <x v="2"/>
    <x v="1"/>
    <x v="0"/>
    <x v="0"/>
    <x v="11"/>
    <x v="2"/>
    <x v="9"/>
    <x v="2"/>
  </r>
  <r>
    <x v="1760"/>
    <x v="2"/>
    <x v="0"/>
    <n v="143.19999999999999"/>
    <x v="1391"/>
    <x v="64"/>
    <d v="2025-03-09T00:00:00"/>
    <x v="1"/>
    <x v="2"/>
    <x v="0"/>
    <x v="0"/>
    <x v="11"/>
    <x v="2"/>
    <x v="9"/>
    <x v="1"/>
  </r>
  <r>
    <x v="1761"/>
    <x v="6"/>
    <x v="5"/>
    <n v="40.4"/>
    <x v="1392"/>
    <x v="64"/>
    <d v="2025-03-08T00:00:00"/>
    <x v="1"/>
    <x v="2"/>
    <x v="2"/>
    <x v="0"/>
    <x v="18"/>
    <x v="1"/>
    <x v="9"/>
    <x v="1"/>
  </r>
  <r>
    <x v="1762"/>
    <x v="2"/>
    <x v="10"/>
    <n v="131.5"/>
    <x v="1393"/>
    <x v="64"/>
    <d v="2025-03-08T00:00:00"/>
    <x v="1"/>
    <x v="1"/>
    <x v="1"/>
    <x v="0"/>
    <x v="18"/>
    <x v="1"/>
    <x v="9"/>
    <x v="1"/>
  </r>
  <r>
    <x v="1763"/>
    <x v="18"/>
    <x v="3"/>
    <n v="61.6"/>
    <x v="348"/>
    <x v="64"/>
    <d v="2025-03-07T00:00:00"/>
    <x v="1"/>
    <x v="2"/>
    <x v="0"/>
    <x v="0"/>
    <x v="21"/>
    <x v="3"/>
    <x v="9"/>
    <x v="1"/>
  </r>
  <r>
    <x v="1764"/>
    <x v="9"/>
    <x v="9"/>
    <n v="32.700000000000003"/>
    <x v="838"/>
    <x v="64"/>
    <d v="2025-03-08T00:00:00"/>
    <x v="1"/>
    <x v="2"/>
    <x v="0"/>
    <x v="0"/>
    <x v="1"/>
    <x v="1"/>
    <x v="9"/>
    <x v="1"/>
  </r>
  <r>
    <x v="1765"/>
    <x v="0"/>
    <x v="7"/>
    <n v="13.7"/>
    <x v="383"/>
    <x v="64"/>
    <d v="2025-03-07T00:00:00"/>
    <x v="1"/>
    <x v="0"/>
    <x v="2"/>
    <x v="0"/>
    <x v="3"/>
    <x v="3"/>
    <x v="9"/>
    <x v="1"/>
  </r>
  <r>
    <x v="1766"/>
    <x v="0"/>
    <x v="12"/>
    <n v="32.1"/>
    <x v="58"/>
    <x v="64"/>
    <d v="2025-03-07T00:00:00"/>
    <x v="1"/>
    <x v="4"/>
    <x v="1"/>
    <x v="0"/>
    <x v="3"/>
    <x v="3"/>
    <x v="9"/>
    <x v="1"/>
  </r>
  <r>
    <x v="1767"/>
    <x v="14"/>
    <x v="8"/>
    <n v="12"/>
    <x v="854"/>
    <x v="64"/>
    <d v="2025-03-07T00:00:00"/>
    <x v="1"/>
    <x v="1"/>
    <x v="0"/>
    <x v="0"/>
    <x v="24"/>
    <x v="3"/>
    <x v="9"/>
    <x v="1"/>
  </r>
  <r>
    <x v="1768"/>
    <x v="12"/>
    <x v="0"/>
    <n v="64.3"/>
    <x v="1394"/>
    <x v="64"/>
    <d v="2025-03-08T00:00:00"/>
    <x v="2"/>
    <x v="2"/>
    <x v="2"/>
    <x v="0"/>
    <x v="6"/>
    <x v="1"/>
    <x v="9"/>
    <x v="2"/>
  </r>
  <r>
    <x v="1769"/>
    <x v="1"/>
    <x v="2"/>
    <n v="58.2"/>
    <x v="1395"/>
    <x v="64"/>
    <d v="2025-03-08T00:00:00"/>
    <x v="2"/>
    <x v="1"/>
    <x v="2"/>
    <x v="0"/>
    <x v="6"/>
    <x v="1"/>
    <x v="9"/>
    <x v="2"/>
  </r>
  <r>
    <x v="1770"/>
    <x v="6"/>
    <x v="12"/>
    <n v="59.2"/>
    <x v="1396"/>
    <x v="64"/>
    <d v="2025-03-06T00:00:00"/>
    <x v="1"/>
    <x v="1"/>
    <x v="2"/>
    <x v="0"/>
    <x v="6"/>
    <x v="7"/>
    <x v="9"/>
    <x v="1"/>
  </r>
  <r>
    <x v="1771"/>
    <x v="10"/>
    <x v="5"/>
    <n v="35.6"/>
    <x v="590"/>
    <x v="64"/>
    <d v="2025-03-13T00:00:00"/>
    <x v="1"/>
    <x v="0"/>
    <x v="2"/>
    <x v="0"/>
    <x v="8"/>
    <x v="6"/>
    <x v="9"/>
    <x v="1"/>
  </r>
  <r>
    <x v="1772"/>
    <x v="16"/>
    <x v="8"/>
    <n v="37"/>
    <x v="1397"/>
    <x v="64"/>
    <d v="2025-03-10T00:00:00"/>
    <x v="2"/>
    <x v="2"/>
    <x v="1"/>
    <x v="0"/>
    <x v="8"/>
    <x v="5"/>
    <x v="9"/>
    <x v="2"/>
  </r>
  <r>
    <x v="1773"/>
    <x v="1"/>
    <x v="15"/>
    <n v="80.8"/>
    <x v="1398"/>
    <x v="64"/>
    <d v="2025-03-08T00:00:00"/>
    <x v="2"/>
    <x v="0"/>
    <x v="0"/>
    <x v="0"/>
    <x v="8"/>
    <x v="1"/>
    <x v="9"/>
    <x v="2"/>
  </r>
  <r>
    <x v="1774"/>
    <x v="8"/>
    <x v="1"/>
    <n v="63.2"/>
    <x v="628"/>
    <x v="64"/>
    <d v="2025-03-07T00:00:00"/>
    <x v="1"/>
    <x v="0"/>
    <x v="1"/>
    <x v="0"/>
    <x v="8"/>
    <x v="3"/>
    <x v="9"/>
    <x v="1"/>
  </r>
  <r>
    <x v="1775"/>
    <x v="3"/>
    <x v="1"/>
    <n v="40.799999999999997"/>
    <x v="330"/>
    <x v="64"/>
    <d v="2025-03-08T00:00:00"/>
    <x v="1"/>
    <x v="0"/>
    <x v="1"/>
    <x v="0"/>
    <x v="17"/>
    <x v="1"/>
    <x v="9"/>
    <x v="1"/>
  </r>
  <r>
    <x v="1776"/>
    <x v="13"/>
    <x v="13"/>
    <n v="25.7"/>
    <x v="1399"/>
    <x v="64"/>
    <d v="2025-03-08T00:00:00"/>
    <x v="1"/>
    <x v="4"/>
    <x v="0"/>
    <x v="0"/>
    <x v="18"/>
    <x v="1"/>
    <x v="9"/>
    <x v="1"/>
  </r>
  <r>
    <x v="1777"/>
    <x v="16"/>
    <x v="1"/>
    <n v="49.9"/>
    <x v="350"/>
    <x v="64"/>
    <d v="2025-03-09T00:00:00"/>
    <x v="1"/>
    <x v="0"/>
    <x v="0"/>
    <x v="0"/>
    <x v="20"/>
    <x v="2"/>
    <x v="9"/>
    <x v="1"/>
  </r>
  <r>
    <x v="1778"/>
    <x v="8"/>
    <x v="1"/>
    <n v="20.2"/>
    <x v="1400"/>
    <x v="64"/>
    <d v="2025-03-08T00:00:00"/>
    <x v="2"/>
    <x v="3"/>
    <x v="0"/>
    <x v="0"/>
    <x v="21"/>
    <x v="1"/>
    <x v="9"/>
    <x v="2"/>
  </r>
  <r>
    <x v="1779"/>
    <x v="6"/>
    <x v="2"/>
    <n v="48.4"/>
    <x v="1401"/>
    <x v="64"/>
    <d v="2025-03-11T00:00:00"/>
    <x v="2"/>
    <x v="0"/>
    <x v="2"/>
    <x v="0"/>
    <x v="21"/>
    <x v="0"/>
    <x v="9"/>
    <x v="2"/>
  </r>
  <r>
    <x v="1780"/>
    <x v="6"/>
    <x v="1"/>
    <n v="81"/>
    <x v="915"/>
    <x v="64"/>
    <d v="2025-03-07T00:00:00"/>
    <x v="2"/>
    <x v="1"/>
    <x v="2"/>
    <x v="0"/>
    <x v="21"/>
    <x v="3"/>
    <x v="9"/>
    <x v="2"/>
  </r>
  <r>
    <x v="1781"/>
    <x v="8"/>
    <x v="13"/>
    <n v="19.899999999999999"/>
    <x v="1402"/>
    <x v="64"/>
    <d v="2025-03-09T00:00:00"/>
    <x v="2"/>
    <x v="0"/>
    <x v="1"/>
    <x v="0"/>
    <x v="22"/>
    <x v="2"/>
    <x v="9"/>
    <x v="2"/>
  </r>
  <r>
    <x v="1782"/>
    <x v="4"/>
    <x v="12"/>
    <n v="32.200000000000003"/>
    <x v="1403"/>
    <x v="64"/>
    <d v="2025-03-16T00:00:00"/>
    <x v="1"/>
    <x v="0"/>
    <x v="0"/>
    <x v="0"/>
    <x v="22"/>
    <x v="14"/>
    <x v="9"/>
    <x v="1"/>
  </r>
  <r>
    <x v="1783"/>
    <x v="5"/>
    <x v="2"/>
    <n v="76.8"/>
    <x v="1404"/>
    <x v="64"/>
    <d v="2025-03-07T00:00:00"/>
    <x v="2"/>
    <x v="0"/>
    <x v="1"/>
    <x v="0"/>
    <x v="3"/>
    <x v="3"/>
    <x v="9"/>
    <x v="2"/>
  </r>
  <r>
    <x v="1784"/>
    <x v="6"/>
    <x v="1"/>
    <n v="41.9"/>
    <x v="1405"/>
    <x v="64"/>
    <d v="2025-03-08T00:00:00"/>
    <x v="2"/>
    <x v="0"/>
    <x v="0"/>
    <x v="0"/>
    <x v="3"/>
    <x v="1"/>
    <x v="9"/>
    <x v="2"/>
  </r>
  <r>
    <x v="1785"/>
    <x v="0"/>
    <x v="3"/>
    <n v="34"/>
    <x v="1248"/>
    <x v="64"/>
    <d v="2025-03-08T00:00:00"/>
    <x v="2"/>
    <x v="1"/>
    <x v="2"/>
    <x v="0"/>
    <x v="3"/>
    <x v="1"/>
    <x v="9"/>
    <x v="2"/>
  </r>
  <r>
    <x v="1786"/>
    <x v="7"/>
    <x v="3"/>
    <n v="61.3"/>
    <x v="1406"/>
    <x v="64"/>
    <d v="2025-03-06T00:00:00"/>
    <x v="2"/>
    <x v="4"/>
    <x v="2"/>
    <x v="0"/>
    <x v="3"/>
    <x v="7"/>
    <x v="9"/>
    <x v="2"/>
  </r>
  <r>
    <x v="1787"/>
    <x v="9"/>
    <x v="0"/>
    <n v="54.7"/>
    <x v="1407"/>
    <x v="65"/>
    <d v="2025-03-08T00:00:00"/>
    <x v="1"/>
    <x v="0"/>
    <x v="1"/>
    <x v="0"/>
    <x v="3"/>
    <x v="3"/>
    <x v="9"/>
    <x v="1"/>
  </r>
  <r>
    <x v="1788"/>
    <x v="6"/>
    <x v="7"/>
    <n v="84.7"/>
    <x v="1408"/>
    <x v="65"/>
    <d v="2025-03-11T00:00:00"/>
    <x v="2"/>
    <x v="0"/>
    <x v="0"/>
    <x v="0"/>
    <x v="3"/>
    <x v="5"/>
    <x v="9"/>
    <x v="2"/>
  </r>
  <r>
    <x v="1789"/>
    <x v="1"/>
    <x v="2"/>
    <n v="93.4"/>
    <x v="1409"/>
    <x v="65"/>
    <d v="2025-03-11T00:00:00"/>
    <x v="2"/>
    <x v="3"/>
    <x v="0"/>
    <x v="0"/>
    <x v="3"/>
    <x v="5"/>
    <x v="9"/>
    <x v="2"/>
  </r>
  <r>
    <x v="1790"/>
    <x v="8"/>
    <x v="9"/>
    <n v="27"/>
    <x v="340"/>
    <x v="65"/>
    <d v="2025-03-10T00:00:00"/>
    <x v="1"/>
    <x v="0"/>
    <x v="1"/>
    <x v="0"/>
    <x v="3"/>
    <x v="2"/>
    <x v="9"/>
    <x v="1"/>
  </r>
  <r>
    <x v="1791"/>
    <x v="0"/>
    <x v="12"/>
    <n v="10.9"/>
    <x v="1195"/>
    <x v="65"/>
    <d v="2025-03-08T00:00:00"/>
    <x v="1"/>
    <x v="2"/>
    <x v="0"/>
    <x v="0"/>
    <x v="3"/>
    <x v="3"/>
    <x v="9"/>
    <x v="1"/>
  </r>
  <r>
    <x v="1792"/>
    <x v="16"/>
    <x v="2"/>
    <n v="48"/>
    <x v="1410"/>
    <x v="65"/>
    <d v="2025-03-12T00:00:00"/>
    <x v="2"/>
    <x v="4"/>
    <x v="0"/>
    <x v="0"/>
    <x v="3"/>
    <x v="0"/>
    <x v="9"/>
    <x v="2"/>
  </r>
  <r>
    <x v="1793"/>
    <x v="5"/>
    <x v="1"/>
    <n v="67.900000000000006"/>
    <x v="1411"/>
    <x v="65"/>
    <d v="2025-03-08T00:00:00"/>
    <x v="1"/>
    <x v="0"/>
    <x v="2"/>
    <x v="0"/>
    <x v="23"/>
    <x v="3"/>
    <x v="9"/>
    <x v="1"/>
  </r>
  <r>
    <x v="1794"/>
    <x v="4"/>
    <x v="2"/>
    <n v="36"/>
    <x v="807"/>
    <x v="65"/>
    <d v="2025-03-08T00:00:00"/>
    <x v="1"/>
    <x v="1"/>
    <x v="0"/>
    <x v="0"/>
    <x v="6"/>
    <x v="3"/>
    <x v="9"/>
    <x v="1"/>
  </r>
  <r>
    <x v="1795"/>
    <x v="2"/>
    <x v="0"/>
    <n v="128.80000000000001"/>
    <x v="1403"/>
    <x v="65"/>
    <d v="2025-03-08T00:00:00"/>
    <x v="1"/>
    <x v="4"/>
    <x v="2"/>
    <x v="0"/>
    <x v="6"/>
    <x v="3"/>
    <x v="9"/>
    <x v="1"/>
  </r>
  <r>
    <x v="1796"/>
    <x v="18"/>
    <x v="3"/>
    <n v="33.299999999999997"/>
    <x v="1412"/>
    <x v="65"/>
    <d v="2025-03-08T00:00:00"/>
    <x v="2"/>
    <x v="3"/>
    <x v="0"/>
    <x v="0"/>
    <x v="8"/>
    <x v="3"/>
    <x v="9"/>
    <x v="2"/>
  </r>
  <r>
    <x v="1797"/>
    <x v="10"/>
    <x v="2"/>
    <n v="37.799999999999997"/>
    <x v="1413"/>
    <x v="65"/>
    <d v="2025-03-09T00:00:00"/>
    <x v="1"/>
    <x v="1"/>
    <x v="2"/>
    <x v="0"/>
    <x v="8"/>
    <x v="1"/>
    <x v="9"/>
    <x v="1"/>
  </r>
  <r>
    <x v="1798"/>
    <x v="5"/>
    <x v="2"/>
    <n v="26"/>
    <x v="292"/>
    <x v="65"/>
    <d v="2025-03-12T00:00:00"/>
    <x v="2"/>
    <x v="0"/>
    <x v="0"/>
    <x v="0"/>
    <x v="8"/>
    <x v="0"/>
    <x v="9"/>
    <x v="2"/>
  </r>
  <r>
    <x v="1799"/>
    <x v="8"/>
    <x v="10"/>
    <n v="28.3"/>
    <x v="1414"/>
    <x v="65"/>
    <d v="2025-03-08T00:00:00"/>
    <x v="2"/>
    <x v="3"/>
    <x v="4"/>
    <x v="0"/>
    <x v="8"/>
    <x v="3"/>
    <x v="9"/>
    <x v="2"/>
  </r>
  <r>
    <x v="1800"/>
    <x v="8"/>
    <x v="12"/>
    <n v="31.3"/>
    <x v="1415"/>
    <x v="65"/>
    <d v="2025-03-07T00:00:00"/>
    <x v="2"/>
    <x v="0"/>
    <x v="0"/>
    <x v="0"/>
    <x v="8"/>
    <x v="7"/>
    <x v="9"/>
    <x v="2"/>
  </r>
  <r>
    <x v="1801"/>
    <x v="7"/>
    <x v="2"/>
    <n v="69.5"/>
    <x v="1416"/>
    <x v="65"/>
    <d v="2025-03-08T00:00:00"/>
    <x v="2"/>
    <x v="3"/>
    <x v="2"/>
    <x v="0"/>
    <x v="8"/>
    <x v="3"/>
    <x v="9"/>
    <x v="2"/>
  </r>
  <r>
    <x v="1802"/>
    <x v="0"/>
    <x v="1"/>
    <n v="16.7"/>
    <x v="1417"/>
    <x v="65"/>
    <d v="2025-03-08T00:00:00"/>
    <x v="2"/>
    <x v="3"/>
    <x v="1"/>
    <x v="0"/>
    <x v="8"/>
    <x v="3"/>
    <x v="9"/>
    <x v="2"/>
  </r>
  <r>
    <x v="1803"/>
    <x v="9"/>
    <x v="1"/>
    <n v="62.6"/>
    <x v="1415"/>
    <x v="65"/>
    <d v="2025-03-08T00:00:00"/>
    <x v="1"/>
    <x v="2"/>
    <x v="2"/>
    <x v="0"/>
    <x v="9"/>
    <x v="3"/>
    <x v="9"/>
    <x v="1"/>
  </r>
  <r>
    <x v="1804"/>
    <x v="7"/>
    <x v="0"/>
    <n v="81.2"/>
    <x v="1101"/>
    <x v="65"/>
    <d v="2025-03-13T00:00:00"/>
    <x v="1"/>
    <x v="4"/>
    <x v="4"/>
    <x v="0"/>
    <x v="9"/>
    <x v="4"/>
    <x v="9"/>
    <x v="1"/>
  </r>
  <r>
    <x v="1805"/>
    <x v="0"/>
    <x v="7"/>
    <n v="12.7"/>
    <x v="520"/>
    <x v="65"/>
    <d v="2025-03-08T00:00:00"/>
    <x v="2"/>
    <x v="0"/>
    <x v="2"/>
    <x v="0"/>
    <x v="9"/>
    <x v="3"/>
    <x v="9"/>
    <x v="2"/>
  </r>
  <r>
    <x v="1806"/>
    <x v="7"/>
    <x v="12"/>
    <n v="77.7"/>
    <x v="1418"/>
    <x v="66"/>
    <d v="2025-03-12T00:00:00"/>
    <x v="1"/>
    <x v="1"/>
    <x v="0"/>
    <x v="0"/>
    <x v="11"/>
    <x v="5"/>
    <x v="9"/>
    <x v="1"/>
  </r>
  <r>
    <x v="1807"/>
    <x v="5"/>
    <x v="1"/>
    <n v="37.299999999999997"/>
    <x v="110"/>
    <x v="66"/>
    <d v="2025-03-09T00:00:00"/>
    <x v="2"/>
    <x v="0"/>
    <x v="2"/>
    <x v="0"/>
    <x v="18"/>
    <x v="3"/>
    <x v="9"/>
    <x v="2"/>
  </r>
  <r>
    <x v="1808"/>
    <x v="10"/>
    <x v="12"/>
    <n v="35.6"/>
    <x v="1419"/>
    <x v="66"/>
    <d v="2025-03-10T00:00:00"/>
    <x v="2"/>
    <x v="1"/>
    <x v="1"/>
    <x v="0"/>
    <x v="19"/>
    <x v="1"/>
    <x v="9"/>
    <x v="2"/>
  </r>
  <r>
    <x v="1809"/>
    <x v="2"/>
    <x v="2"/>
    <n v="95"/>
    <x v="1420"/>
    <x v="66"/>
    <d v="2025-03-12T00:00:00"/>
    <x v="2"/>
    <x v="2"/>
    <x v="2"/>
    <x v="0"/>
    <x v="56"/>
    <x v="5"/>
    <x v="9"/>
    <x v="2"/>
  </r>
  <r>
    <x v="1810"/>
    <x v="2"/>
    <x v="12"/>
    <n v="172.1"/>
    <x v="1421"/>
    <x v="66"/>
    <d v="2025-03-12T00:00:00"/>
    <x v="3"/>
    <x v="2"/>
    <x v="2"/>
    <x v="0"/>
    <x v="21"/>
    <x v="5"/>
    <x v="9"/>
    <x v="3"/>
  </r>
  <r>
    <x v="1811"/>
    <x v="2"/>
    <x v="1"/>
    <n v="233"/>
    <x v="1147"/>
    <x v="66"/>
    <d v="2025-03-11T00:00:00"/>
    <x v="2"/>
    <x v="1"/>
    <x v="0"/>
    <x v="0"/>
    <x v="21"/>
    <x v="2"/>
    <x v="9"/>
    <x v="2"/>
  </r>
  <r>
    <x v="1812"/>
    <x v="0"/>
    <x v="0"/>
    <n v="43.5"/>
    <x v="1422"/>
    <x v="66"/>
    <d v="2025-03-09T00:00:00"/>
    <x v="2"/>
    <x v="2"/>
    <x v="2"/>
    <x v="0"/>
    <x v="21"/>
    <x v="3"/>
    <x v="9"/>
    <x v="2"/>
  </r>
  <r>
    <x v="1813"/>
    <x v="9"/>
    <x v="1"/>
    <n v="47.8"/>
    <x v="139"/>
    <x v="66"/>
    <d v="2025-03-11T00:00:00"/>
    <x v="1"/>
    <x v="4"/>
    <x v="2"/>
    <x v="0"/>
    <x v="1"/>
    <x v="2"/>
    <x v="9"/>
    <x v="1"/>
  </r>
  <r>
    <x v="1814"/>
    <x v="12"/>
    <x v="1"/>
    <n v="65.8"/>
    <x v="1423"/>
    <x v="66"/>
    <d v="2025-03-10T00:00:00"/>
    <x v="2"/>
    <x v="0"/>
    <x v="3"/>
    <x v="0"/>
    <x v="33"/>
    <x v="1"/>
    <x v="9"/>
    <x v="2"/>
  </r>
  <r>
    <x v="1815"/>
    <x v="15"/>
    <x v="5"/>
    <n v="38.700000000000003"/>
    <x v="1424"/>
    <x v="66"/>
    <d v="2025-03-08T00:00:00"/>
    <x v="1"/>
    <x v="0"/>
    <x v="0"/>
    <x v="0"/>
    <x v="22"/>
    <x v="7"/>
    <x v="9"/>
    <x v="1"/>
  </r>
  <r>
    <x v="1816"/>
    <x v="3"/>
    <x v="12"/>
    <n v="55.7"/>
    <x v="839"/>
    <x v="66"/>
    <d v="2025-03-10T00:00:00"/>
    <x v="3"/>
    <x v="0"/>
    <x v="1"/>
    <x v="0"/>
    <x v="22"/>
    <x v="1"/>
    <x v="9"/>
    <x v="3"/>
  </r>
  <r>
    <x v="1817"/>
    <x v="7"/>
    <x v="1"/>
    <n v="102.4"/>
    <x v="403"/>
    <x v="66"/>
    <d v="2025-03-08T00:00:00"/>
    <x v="2"/>
    <x v="1"/>
    <x v="0"/>
    <x v="0"/>
    <x v="3"/>
    <x v="7"/>
    <x v="9"/>
    <x v="2"/>
  </r>
  <r>
    <x v="1818"/>
    <x v="1"/>
    <x v="0"/>
    <n v="92"/>
    <x v="988"/>
    <x v="66"/>
    <d v="2025-03-12T00:00:00"/>
    <x v="0"/>
    <x v="2"/>
    <x v="0"/>
    <x v="0"/>
    <x v="3"/>
    <x v="5"/>
    <x v="9"/>
    <x v="0"/>
  </r>
  <r>
    <x v="1819"/>
    <x v="6"/>
    <x v="12"/>
    <n v="75.900000000000006"/>
    <x v="80"/>
    <x v="66"/>
    <d v="2025-03-10T00:00:00"/>
    <x v="2"/>
    <x v="1"/>
    <x v="0"/>
    <x v="0"/>
    <x v="3"/>
    <x v="1"/>
    <x v="9"/>
    <x v="2"/>
  </r>
  <r>
    <x v="1820"/>
    <x v="1"/>
    <x v="12"/>
    <n v="36.200000000000003"/>
    <x v="353"/>
    <x v="66"/>
    <d v="2025-03-09T00:00:00"/>
    <x v="2"/>
    <x v="1"/>
    <x v="0"/>
    <x v="0"/>
    <x v="3"/>
    <x v="3"/>
    <x v="9"/>
    <x v="2"/>
  </r>
  <r>
    <x v="1821"/>
    <x v="6"/>
    <x v="45"/>
    <n v="83.5"/>
    <x v="1425"/>
    <x v="66"/>
    <d v="2025-03-10T00:00:00"/>
    <x v="0"/>
    <x v="3"/>
    <x v="0"/>
    <x v="0"/>
    <x v="3"/>
    <x v="1"/>
    <x v="9"/>
    <x v="0"/>
  </r>
  <r>
    <x v="1822"/>
    <x v="19"/>
    <x v="4"/>
    <n v="52.4"/>
    <x v="1092"/>
    <x v="66"/>
    <d v="2025-03-08T00:00:00"/>
    <x v="1"/>
    <x v="2"/>
    <x v="0"/>
    <x v="0"/>
    <x v="3"/>
    <x v="7"/>
    <x v="9"/>
    <x v="1"/>
  </r>
  <r>
    <x v="1823"/>
    <x v="12"/>
    <x v="2"/>
    <n v="69.5"/>
    <x v="1416"/>
    <x v="66"/>
    <d v="2025-03-09T00:00:00"/>
    <x v="3"/>
    <x v="4"/>
    <x v="0"/>
    <x v="0"/>
    <x v="3"/>
    <x v="3"/>
    <x v="9"/>
    <x v="3"/>
  </r>
  <r>
    <x v="1824"/>
    <x v="0"/>
    <x v="0"/>
    <n v="15.5"/>
    <x v="1426"/>
    <x v="66"/>
    <d v="2025-03-10T00:00:00"/>
    <x v="1"/>
    <x v="0"/>
    <x v="0"/>
    <x v="0"/>
    <x v="3"/>
    <x v="1"/>
    <x v="9"/>
    <x v="1"/>
  </r>
  <r>
    <x v="1825"/>
    <x v="4"/>
    <x v="12"/>
    <n v="35.200000000000003"/>
    <x v="1427"/>
    <x v="66"/>
    <d v="2025-03-09T00:00:00"/>
    <x v="2"/>
    <x v="2"/>
    <x v="2"/>
    <x v="0"/>
    <x v="3"/>
    <x v="3"/>
    <x v="9"/>
    <x v="2"/>
  </r>
  <r>
    <x v="1826"/>
    <x v="8"/>
    <x v="13"/>
    <n v="34.6"/>
    <x v="1428"/>
    <x v="66"/>
    <d v="2025-03-09T00:00:00"/>
    <x v="0"/>
    <x v="0"/>
    <x v="1"/>
    <x v="0"/>
    <x v="3"/>
    <x v="3"/>
    <x v="9"/>
    <x v="0"/>
  </r>
  <r>
    <x v="1827"/>
    <x v="4"/>
    <x v="0"/>
    <n v="21.3"/>
    <x v="1429"/>
    <x v="67"/>
    <d v="2025-03-10T00:00:00"/>
    <x v="1"/>
    <x v="2"/>
    <x v="1"/>
    <x v="0"/>
    <x v="3"/>
    <x v="3"/>
    <x v="10"/>
    <x v="1"/>
  </r>
  <r>
    <x v="1828"/>
    <x v="6"/>
    <x v="1"/>
    <n v="136.5"/>
    <x v="1430"/>
    <x v="67"/>
    <d v="2025-03-15T00:00:00"/>
    <x v="2"/>
    <x v="0"/>
    <x v="0"/>
    <x v="0"/>
    <x v="37"/>
    <x v="4"/>
    <x v="10"/>
    <x v="2"/>
  </r>
  <r>
    <x v="1829"/>
    <x v="9"/>
    <x v="3"/>
    <n v="30.7"/>
    <x v="1431"/>
    <x v="67"/>
    <d v="2025-03-10T00:00:00"/>
    <x v="1"/>
    <x v="2"/>
    <x v="2"/>
    <x v="0"/>
    <x v="25"/>
    <x v="3"/>
    <x v="10"/>
    <x v="1"/>
  </r>
  <r>
    <x v="1830"/>
    <x v="1"/>
    <x v="1"/>
    <n v="61.6"/>
    <x v="1432"/>
    <x v="67"/>
    <d v="2025-03-10T00:00:00"/>
    <x v="2"/>
    <x v="2"/>
    <x v="2"/>
    <x v="0"/>
    <x v="23"/>
    <x v="3"/>
    <x v="10"/>
    <x v="2"/>
  </r>
  <r>
    <x v="1831"/>
    <x v="6"/>
    <x v="12"/>
    <n v="54.3"/>
    <x v="1433"/>
    <x v="67"/>
    <d v="2025-03-11T00:00:00"/>
    <x v="0"/>
    <x v="4"/>
    <x v="0"/>
    <x v="0"/>
    <x v="7"/>
    <x v="1"/>
    <x v="10"/>
    <x v="0"/>
  </r>
  <r>
    <x v="1832"/>
    <x v="1"/>
    <x v="1"/>
    <n v="44.1"/>
    <x v="1047"/>
    <x v="67"/>
    <d v="2025-03-21T00:00:00"/>
    <x v="2"/>
    <x v="0"/>
    <x v="2"/>
    <x v="0"/>
    <x v="8"/>
    <x v="13"/>
    <x v="10"/>
    <x v="2"/>
  </r>
  <r>
    <x v="1833"/>
    <x v="8"/>
    <x v="12"/>
    <n v="43.5"/>
    <x v="1434"/>
    <x v="67"/>
    <d v="2025-03-15T00:00:00"/>
    <x v="1"/>
    <x v="3"/>
    <x v="0"/>
    <x v="0"/>
    <x v="8"/>
    <x v="4"/>
    <x v="10"/>
    <x v="1"/>
  </r>
  <r>
    <x v="1834"/>
    <x v="8"/>
    <x v="2"/>
    <n v="48.2"/>
    <x v="1435"/>
    <x v="67"/>
    <d v="2025-03-13T00:00:00"/>
    <x v="1"/>
    <x v="3"/>
    <x v="1"/>
    <x v="0"/>
    <x v="8"/>
    <x v="5"/>
    <x v="10"/>
    <x v="1"/>
  </r>
  <r>
    <x v="1835"/>
    <x v="19"/>
    <x v="0"/>
    <n v="13.7"/>
    <x v="1436"/>
    <x v="67"/>
    <d v="2025-03-10T00:00:00"/>
    <x v="2"/>
    <x v="2"/>
    <x v="2"/>
    <x v="0"/>
    <x v="8"/>
    <x v="3"/>
    <x v="10"/>
    <x v="2"/>
  </r>
  <r>
    <x v="1836"/>
    <x v="2"/>
    <x v="1"/>
    <n v="110.5"/>
    <x v="1437"/>
    <x v="67"/>
    <d v="2025-03-10T00:00:00"/>
    <x v="2"/>
    <x v="0"/>
    <x v="1"/>
    <x v="0"/>
    <x v="8"/>
    <x v="3"/>
    <x v="10"/>
    <x v="2"/>
  </r>
  <r>
    <x v="1837"/>
    <x v="8"/>
    <x v="2"/>
    <n v="26"/>
    <x v="292"/>
    <x v="67"/>
    <d v="2025-03-14T00:00:00"/>
    <x v="2"/>
    <x v="1"/>
    <x v="1"/>
    <x v="0"/>
    <x v="8"/>
    <x v="0"/>
    <x v="10"/>
    <x v="2"/>
  </r>
  <r>
    <x v="1838"/>
    <x v="2"/>
    <x v="7"/>
    <n v="140.69999999999999"/>
    <x v="1438"/>
    <x v="67"/>
    <d v="2025-03-15T00:00:00"/>
    <x v="1"/>
    <x v="3"/>
    <x v="1"/>
    <x v="0"/>
    <x v="8"/>
    <x v="4"/>
    <x v="10"/>
    <x v="1"/>
  </r>
  <r>
    <x v="1839"/>
    <x v="17"/>
    <x v="1"/>
    <n v="41.7"/>
    <x v="925"/>
    <x v="67"/>
    <d v="2025-03-17T00:00:00"/>
    <x v="2"/>
    <x v="0"/>
    <x v="4"/>
    <x v="0"/>
    <x v="8"/>
    <x v="9"/>
    <x v="10"/>
    <x v="2"/>
  </r>
  <r>
    <x v="1840"/>
    <x v="2"/>
    <x v="1"/>
    <n v="135.1"/>
    <x v="1439"/>
    <x v="67"/>
    <d v="2025-03-10T00:00:00"/>
    <x v="1"/>
    <x v="0"/>
    <x v="2"/>
    <x v="0"/>
    <x v="17"/>
    <x v="3"/>
    <x v="10"/>
    <x v="1"/>
  </r>
  <r>
    <x v="1841"/>
    <x v="12"/>
    <x v="32"/>
    <n v="95.5"/>
    <x v="1440"/>
    <x v="67"/>
    <d v="2025-03-10T00:00:00"/>
    <x v="2"/>
    <x v="4"/>
    <x v="4"/>
    <x v="0"/>
    <x v="26"/>
    <x v="3"/>
    <x v="10"/>
    <x v="2"/>
  </r>
  <r>
    <x v="1842"/>
    <x v="15"/>
    <x v="0"/>
    <n v="25.5"/>
    <x v="1441"/>
    <x v="67"/>
    <d v="2025-03-12T00:00:00"/>
    <x v="0"/>
    <x v="2"/>
    <x v="2"/>
    <x v="0"/>
    <x v="11"/>
    <x v="2"/>
    <x v="10"/>
    <x v="0"/>
  </r>
  <r>
    <x v="1843"/>
    <x v="1"/>
    <x v="0"/>
    <n v="42.6"/>
    <x v="440"/>
    <x v="67"/>
    <d v="2025-03-13T00:00:00"/>
    <x v="2"/>
    <x v="0"/>
    <x v="0"/>
    <x v="0"/>
    <x v="11"/>
    <x v="5"/>
    <x v="10"/>
    <x v="2"/>
  </r>
  <r>
    <x v="1844"/>
    <x v="8"/>
    <x v="20"/>
    <n v="32.4"/>
    <x v="1442"/>
    <x v="67"/>
    <d v="2025-03-10T00:00:00"/>
    <x v="1"/>
    <x v="1"/>
    <x v="1"/>
    <x v="0"/>
    <x v="11"/>
    <x v="3"/>
    <x v="10"/>
    <x v="1"/>
  </r>
  <r>
    <x v="1845"/>
    <x v="4"/>
    <x v="12"/>
    <n v="20.2"/>
    <x v="1443"/>
    <x v="67"/>
    <d v="2025-03-10T00:00:00"/>
    <x v="3"/>
    <x v="2"/>
    <x v="0"/>
    <x v="0"/>
    <x v="11"/>
    <x v="3"/>
    <x v="10"/>
    <x v="3"/>
  </r>
  <r>
    <x v="1846"/>
    <x v="16"/>
    <x v="2"/>
    <n v="52.5"/>
    <x v="905"/>
    <x v="67"/>
    <d v="2025-03-14T00:00:00"/>
    <x v="2"/>
    <x v="4"/>
    <x v="0"/>
    <x v="0"/>
    <x v="18"/>
    <x v="0"/>
    <x v="10"/>
    <x v="2"/>
  </r>
  <r>
    <x v="1847"/>
    <x v="2"/>
    <x v="9"/>
    <n v="59.9"/>
    <x v="1444"/>
    <x v="67"/>
    <d v="2025-03-11T00:00:00"/>
    <x v="2"/>
    <x v="2"/>
    <x v="0"/>
    <x v="0"/>
    <x v="19"/>
    <x v="1"/>
    <x v="10"/>
    <x v="2"/>
  </r>
  <r>
    <x v="1848"/>
    <x v="4"/>
    <x v="1"/>
    <n v="53.2"/>
    <x v="793"/>
    <x v="67"/>
    <d v="2025-03-10T00:00:00"/>
    <x v="2"/>
    <x v="1"/>
    <x v="3"/>
    <x v="0"/>
    <x v="20"/>
    <x v="3"/>
    <x v="10"/>
    <x v="2"/>
  </r>
  <r>
    <x v="1849"/>
    <x v="2"/>
    <x v="1"/>
    <n v="60"/>
    <x v="160"/>
    <x v="67"/>
    <d v="2025-03-15T00:00:00"/>
    <x v="1"/>
    <x v="1"/>
    <x v="2"/>
    <x v="0"/>
    <x v="20"/>
    <x v="4"/>
    <x v="10"/>
    <x v="1"/>
  </r>
  <r>
    <x v="1850"/>
    <x v="8"/>
    <x v="2"/>
    <n v="29.3"/>
    <x v="1205"/>
    <x v="67"/>
    <d v="2025-03-10T00:00:00"/>
    <x v="2"/>
    <x v="4"/>
    <x v="0"/>
    <x v="0"/>
    <x v="13"/>
    <x v="3"/>
    <x v="10"/>
    <x v="2"/>
  </r>
  <r>
    <x v="1851"/>
    <x v="12"/>
    <x v="1"/>
    <n v="55.4"/>
    <x v="806"/>
    <x v="67"/>
    <d v="2025-03-10T00:00:00"/>
    <x v="2"/>
    <x v="0"/>
    <x v="2"/>
    <x v="0"/>
    <x v="21"/>
    <x v="3"/>
    <x v="10"/>
    <x v="2"/>
  </r>
  <r>
    <x v="1852"/>
    <x v="0"/>
    <x v="9"/>
    <n v="20.100000000000001"/>
    <x v="427"/>
    <x v="67"/>
    <d v="2025-03-11T00:00:00"/>
    <x v="2"/>
    <x v="1"/>
    <x v="2"/>
    <x v="0"/>
    <x v="21"/>
    <x v="1"/>
    <x v="10"/>
    <x v="2"/>
  </r>
  <r>
    <x v="1853"/>
    <x v="14"/>
    <x v="9"/>
    <n v="24"/>
    <x v="160"/>
    <x v="67"/>
    <d v="2025-03-12T00:00:00"/>
    <x v="1"/>
    <x v="2"/>
    <x v="0"/>
    <x v="0"/>
    <x v="1"/>
    <x v="2"/>
    <x v="10"/>
    <x v="1"/>
  </r>
  <r>
    <x v="1854"/>
    <x v="8"/>
    <x v="1"/>
    <n v="30.6"/>
    <x v="1"/>
    <x v="68"/>
    <d v="2025-03-12T00:00:00"/>
    <x v="2"/>
    <x v="0"/>
    <x v="0"/>
    <x v="0"/>
    <x v="1"/>
    <x v="1"/>
    <x v="10"/>
    <x v="2"/>
  </r>
  <r>
    <x v="1855"/>
    <x v="10"/>
    <x v="9"/>
    <n v="33"/>
    <x v="1445"/>
    <x v="68"/>
    <d v="2025-03-11T00:00:00"/>
    <x v="1"/>
    <x v="1"/>
    <x v="1"/>
    <x v="0"/>
    <x v="27"/>
    <x v="3"/>
    <x v="10"/>
    <x v="1"/>
  </r>
  <r>
    <x v="1856"/>
    <x v="17"/>
    <x v="11"/>
    <n v="42.1"/>
    <x v="1258"/>
    <x v="68"/>
    <d v="2025-03-16T00:00:00"/>
    <x v="2"/>
    <x v="2"/>
    <x v="0"/>
    <x v="0"/>
    <x v="44"/>
    <x v="4"/>
    <x v="10"/>
    <x v="2"/>
  </r>
  <r>
    <x v="1857"/>
    <x v="6"/>
    <x v="3"/>
    <n v="77.7"/>
    <x v="1446"/>
    <x v="68"/>
    <d v="2025-03-15T00:00:00"/>
    <x v="2"/>
    <x v="1"/>
    <x v="2"/>
    <x v="0"/>
    <x v="50"/>
    <x v="0"/>
    <x v="10"/>
    <x v="2"/>
  </r>
  <r>
    <x v="1858"/>
    <x v="17"/>
    <x v="13"/>
    <n v="22.7"/>
    <x v="1134"/>
    <x v="68"/>
    <d v="2025-03-13T00:00:00"/>
    <x v="2"/>
    <x v="2"/>
    <x v="0"/>
    <x v="0"/>
    <x v="3"/>
    <x v="2"/>
    <x v="10"/>
    <x v="2"/>
  </r>
  <r>
    <x v="1859"/>
    <x v="2"/>
    <x v="1"/>
    <n v="133"/>
    <x v="751"/>
    <x v="68"/>
    <d v="2025-03-10T00:00:00"/>
    <x v="1"/>
    <x v="2"/>
    <x v="2"/>
    <x v="0"/>
    <x v="3"/>
    <x v="7"/>
    <x v="10"/>
    <x v="1"/>
  </r>
  <r>
    <x v="1860"/>
    <x v="0"/>
    <x v="1"/>
    <n v="23.3"/>
    <x v="1447"/>
    <x v="68"/>
    <d v="2025-03-11T00:00:00"/>
    <x v="1"/>
    <x v="1"/>
    <x v="2"/>
    <x v="0"/>
    <x v="3"/>
    <x v="3"/>
    <x v="10"/>
    <x v="1"/>
  </r>
  <r>
    <x v="1861"/>
    <x v="8"/>
    <x v="2"/>
    <n v="20.7"/>
    <x v="1448"/>
    <x v="68"/>
    <d v="2025-03-12T00:00:00"/>
    <x v="3"/>
    <x v="0"/>
    <x v="2"/>
    <x v="0"/>
    <x v="3"/>
    <x v="1"/>
    <x v="10"/>
    <x v="3"/>
  </r>
  <r>
    <x v="1862"/>
    <x v="12"/>
    <x v="1"/>
    <n v="47"/>
    <x v="255"/>
    <x v="68"/>
    <d v="2025-03-11T00:00:00"/>
    <x v="1"/>
    <x v="1"/>
    <x v="2"/>
    <x v="0"/>
    <x v="3"/>
    <x v="3"/>
    <x v="10"/>
    <x v="1"/>
  </r>
  <r>
    <x v="1863"/>
    <x v="12"/>
    <x v="2"/>
    <n v="38.200000000000003"/>
    <x v="1449"/>
    <x v="68"/>
    <d v="2025-03-12T00:00:00"/>
    <x v="2"/>
    <x v="2"/>
    <x v="4"/>
    <x v="0"/>
    <x v="3"/>
    <x v="1"/>
    <x v="10"/>
    <x v="2"/>
  </r>
  <r>
    <x v="1864"/>
    <x v="9"/>
    <x v="0"/>
    <n v="39.1"/>
    <x v="923"/>
    <x v="68"/>
    <d v="2025-03-12T00:00:00"/>
    <x v="2"/>
    <x v="0"/>
    <x v="0"/>
    <x v="0"/>
    <x v="3"/>
    <x v="1"/>
    <x v="10"/>
    <x v="2"/>
  </r>
  <r>
    <x v="1865"/>
    <x v="7"/>
    <x v="30"/>
    <n v="55.6"/>
    <x v="1450"/>
    <x v="68"/>
    <d v="2025-03-12T00:00:00"/>
    <x v="1"/>
    <x v="0"/>
    <x v="2"/>
    <x v="0"/>
    <x v="3"/>
    <x v="1"/>
    <x v="10"/>
    <x v="1"/>
  </r>
  <r>
    <x v="1866"/>
    <x v="15"/>
    <x v="0"/>
    <n v="43.1"/>
    <x v="39"/>
    <x v="68"/>
    <d v="2025-03-10T00:00:00"/>
    <x v="3"/>
    <x v="1"/>
    <x v="2"/>
    <x v="0"/>
    <x v="3"/>
    <x v="7"/>
    <x v="10"/>
    <x v="3"/>
  </r>
  <r>
    <x v="1867"/>
    <x v="6"/>
    <x v="12"/>
    <n v="48.1"/>
    <x v="1451"/>
    <x v="68"/>
    <d v="2025-03-11T00:00:00"/>
    <x v="2"/>
    <x v="4"/>
    <x v="2"/>
    <x v="0"/>
    <x v="3"/>
    <x v="3"/>
    <x v="10"/>
    <x v="2"/>
  </r>
  <r>
    <x v="1868"/>
    <x v="4"/>
    <x v="0"/>
    <n v="42"/>
    <x v="337"/>
    <x v="68"/>
    <d v="2025-03-11T00:00:00"/>
    <x v="3"/>
    <x v="0"/>
    <x v="0"/>
    <x v="0"/>
    <x v="3"/>
    <x v="3"/>
    <x v="10"/>
    <x v="3"/>
  </r>
  <r>
    <x v="1869"/>
    <x v="8"/>
    <x v="9"/>
    <n v="18.3"/>
    <x v="1058"/>
    <x v="68"/>
    <d v="2025-03-10T00:00:00"/>
    <x v="2"/>
    <x v="2"/>
    <x v="0"/>
    <x v="0"/>
    <x v="3"/>
    <x v="7"/>
    <x v="10"/>
    <x v="2"/>
  </r>
  <r>
    <x v="1870"/>
    <x v="10"/>
    <x v="12"/>
    <n v="45.3"/>
    <x v="1452"/>
    <x v="68"/>
    <d v="2025-03-13T00:00:00"/>
    <x v="2"/>
    <x v="0"/>
    <x v="2"/>
    <x v="0"/>
    <x v="3"/>
    <x v="2"/>
    <x v="10"/>
    <x v="2"/>
  </r>
  <r>
    <x v="1871"/>
    <x v="0"/>
    <x v="1"/>
    <n v="27.6"/>
    <x v="291"/>
    <x v="68"/>
    <d v="2025-03-12T00:00:00"/>
    <x v="1"/>
    <x v="0"/>
    <x v="2"/>
    <x v="0"/>
    <x v="37"/>
    <x v="1"/>
    <x v="10"/>
    <x v="1"/>
  </r>
  <r>
    <x v="1872"/>
    <x v="4"/>
    <x v="9"/>
    <n v="26.9"/>
    <x v="531"/>
    <x v="68"/>
    <d v="2025-03-11T00:00:00"/>
    <x v="2"/>
    <x v="2"/>
    <x v="0"/>
    <x v="0"/>
    <x v="25"/>
    <x v="3"/>
    <x v="10"/>
    <x v="2"/>
  </r>
  <r>
    <x v="1873"/>
    <x v="2"/>
    <x v="11"/>
    <n v="82.4"/>
    <x v="1453"/>
    <x v="68"/>
    <d v="2025-03-12T00:00:00"/>
    <x v="3"/>
    <x v="2"/>
    <x v="0"/>
    <x v="0"/>
    <x v="5"/>
    <x v="1"/>
    <x v="10"/>
    <x v="3"/>
  </r>
  <r>
    <x v="1874"/>
    <x v="6"/>
    <x v="0"/>
    <n v="103.7"/>
    <x v="1454"/>
    <x v="68"/>
    <d v="2025-03-12T00:00:00"/>
    <x v="2"/>
    <x v="1"/>
    <x v="0"/>
    <x v="0"/>
    <x v="5"/>
    <x v="1"/>
    <x v="10"/>
    <x v="2"/>
  </r>
  <r>
    <x v="1875"/>
    <x v="2"/>
    <x v="1"/>
    <n v="58.8"/>
    <x v="833"/>
    <x v="68"/>
    <d v="2025-03-15T00:00:00"/>
    <x v="2"/>
    <x v="1"/>
    <x v="2"/>
    <x v="0"/>
    <x v="6"/>
    <x v="0"/>
    <x v="10"/>
    <x v="2"/>
  </r>
  <r>
    <x v="1876"/>
    <x v="13"/>
    <x v="0"/>
    <n v="31.5"/>
    <x v="1455"/>
    <x v="68"/>
    <d v="2025-03-11T00:00:00"/>
    <x v="2"/>
    <x v="1"/>
    <x v="1"/>
    <x v="0"/>
    <x v="6"/>
    <x v="3"/>
    <x v="10"/>
    <x v="2"/>
  </r>
  <r>
    <x v="1877"/>
    <x v="7"/>
    <x v="9"/>
    <n v="36.799999999999997"/>
    <x v="79"/>
    <x v="68"/>
    <d v="2025-03-12T00:00:00"/>
    <x v="2"/>
    <x v="0"/>
    <x v="0"/>
    <x v="0"/>
    <x v="8"/>
    <x v="1"/>
    <x v="10"/>
    <x v="2"/>
  </r>
  <r>
    <x v="1878"/>
    <x v="3"/>
    <x v="0"/>
    <n v="84.4"/>
    <x v="533"/>
    <x v="68"/>
    <d v="2025-03-11T00:00:00"/>
    <x v="2"/>
    <x v="0"/>
    <x v="0"/>
    <x v="0"/>
    <x v="8"/>
    <x v="3"/>
    <x v="10"/>
    <x v="2"/>
  </r>
  <r>
    <x v="1879"/>
    <x v="14"/>
    <x v="0"/>
    <n v="44.7"/>
    <x v="1456"/>
    <x v="68"/>
    <d v="2025-03-11T00:00:00"/>
    <x v="1"/>
    <x v="0"/>
    <x v="1"/>
    <x v="0"/>
    <x v="8"/>
    <x v="3"/>
    <x v="10"/>
    <x v="1"/>
  </r>
  <r>
    <x v="1880"/>
    <x v="9"/>
    <x v="8"/>
    <n v="39.4"/>
    <x v="895"/>
    <x v="68"/>
    <d v="2025-03-11T00:00:00"/>
    <x v="2"/>
    <x v="1"/>
    <x v="2"/>
    <x v="0"/>
    <x v="8"/>
    <x v="3"/>
    <x v="10"/>
    <x v="2"/>
  </r>
  <r>
    <x v="1881"/>
    <x v="11"/>
    <x v="12"/>
    <n v="34.9"/>
    <x v="1457"/>
    <x v="68"/>
    <d v="2025-03-12T00:00:00"/>
    <x v="2"/>
    <x v="0"/>
    <x v="2"/>
    <x v="0"/>
    <x v="8"/>
    <x v="1"/>
    <x v="10"/>
    <x v="2"/>
  </r>
  <r>
    <x v="1882"/>
    <x v="1"/>
    <x v="2"/>
    <n v="62.3"/>
    <x v="1458"/>
    <x v="68"/>
    <d v="2025-03-12T00:00:00"/>
    <x v="1"/>
    <x v="4"/>
    <x v="2"/>
    <x v="0"/>
    <x v="8"/>
    <x v="1"/>
    <x v="10"/>
    <x v="1"/>
  </r>
  <r>
    <x v="1883"/>
    <x v="8"/>
    <x v="12"/>
    <n v="21.1"/>
    <x v="533"/>
    <x v="68"/>
    <d v="2025-03-13T00:00:00"/>
    <x v="1"/>
    <x v="3"/>
    <x v="0"/>
    <x v="0"/>
    <x v="8"/>
    <x v="2"/>
    <x v="10"/>
    <x v="1"/>
  </r>
  <r>
    <x v="1884"/>
    <x v="8"/>
    <x v="2"/>
    <n v="33.200000000000003"/>
    <x v="1459"/>
    <x v="68"/>
    <d v="2025-03-24T00:00:00"/>
    <x v="0"/>
    <x v="0"/>
    <x v="4"/>
    <x v="0"/>
    <x v="8"/>
    <x v="12"/>
    <x v="10"/>
    <x v="0"/>
  </r>
  <r>
    <x v="1885"/>
    <x v="1"/>
    <x v="12"/>
    <n v="74.5"/>
    <x v="1460"/>
    <x v="68"/>
    <d v="2025-03-11T00:00:00"/>
    <x v="1"/>
    <x v="4"/>
    <x v="0"/>
    <x v="0"/>
    <x v="8"/>
    <x v="3"/>
    <x v="10"/>
    <x v="1"/>
  </r>
  <r>
    <x v="1886"/>
    <x v="10"/>
    <x v="4"/>
    <n v="68.599999999999994"/>
    <x v="1461"/>
    <x v="68"/>
    <d v="2025-03-13T00:00:00"/>
    <x v="2"/>
    <x v="0"/>
    <x v="2"/>
    <x v="0"/>
    <x v="8"/>
    <x v="2"/>
    <x v="10"/>
    <x v="2"/>
  </r>
  <r>
    <x v="1887"/>
    <x v="5"/>
    <x v="21"/>
    <n v="36.4"/>
    <x v="1462"/>
    <x v="68"/>
    <d v="2025-03-12T00:00:00"/>
    <x v="2"/>
    <x v="0"/>
    <x v="1"/>
    <x v="0"/>
    <x v="9"/>
    <x v="1"/>
    <x v="10"/>
    <x v="2"/>
  </r>
  <r>
    <x v="1888"/>
    <x v="16"/>
    <x v="9"/>
    <n v="67.599999999999994"/>
    <x v="1463"/>
    <x v="69"/>
    <d v="2025-03-14T00:00:00"/>
    <x v="2"/>
    <x v="4"/>
    <x v="1"/>
    <x v="0"/>
    <x v="9"/>
    <x v="2"/>
    <x v="10"/>
    <x v="2"/>
  </r>
  <r>
    <x v="1889"/>
    <x v="15"/>
    <x v="0"/>
    <n v="46.3"/>
    <x v="516"/>
    <x v="69"/>
    <d v="2025-03-12T00:00:00"/>
    <x v="1"/>
    <x v="2"/>
    <x v="0"/>
    <x v="0"/>
    <x v="9"/>
    <x v="3"/>
    <x v="10"/>
    <x v="1"/>
  </r>
  <r>
    <x v="1890"/>
    <x v="1"/>
    <x v="2"/>
    <n v="124.2"/>
    <x v="1464"/>
    <x v="69"/>
    <d v="2025-03-13T00:00:00"/>
    <x v="2"/>
    <x v="1"/>
    <x v="2"/>
    <x v="0"/>
    <x v="11"/>
    <x v="1"/>
    <x v="10"/>
    <x v="2"/>
  </r>
  <r>
    <x v="1891"/>
    <x v="10"/>
    <x v="1"/>
    <n v="37"/>
    <x v="372"/>
    <x v="69"/>
    <d v="2025-03-17T00:00:00"/>
    <x v="1"/>
    <x v="0"/>
    <x v="0"/>
    <x v="0"/>
    <x v="11"/>
    <x v="4"/>
    <x v="10"/>
    <x v="1"/>
  </r>
  <r>
    <x v="1892"/>
    <x v="5"/>
    <x v="0"/>
    <n v="41.8"/>
    <x v="1465"/>
    <x v="69"/>
    <d v="2025-03-12T00:00:00"/>
    <x v="1"/>
    <x v="2"/>
    <x v="0"/>
    <x v="0"/>
    <x v="31"/>
    <x v="3"/>
    <x v="10"/>
    <x v="1"/>
  </r>
  <r>
    <x v="1893"/>
    <x v="9"/>
    <x v="1"/>
    <n v="57.2"/>
    <x v="1466"/>
    <x v="69"/>
    <d v="2025-03-13T00:00:00"/>
    <x v="1"/>
    <x v="2"/>
    <x v="1"/>
    <x v="0"/>
    <x v="20"/>
    <x v="1"/>
    <x v="10"/>
    <x v="1"/>
  </r>
  <r>
    <x v="1894"/>
    <x v="6"/>
    <x v="1"/>
    <n v="47.1"/>
    <x v="1467"/>
    <x v="69"/>
    <d v="2025-03-13T00:00:00"/>
    <x v="2"/>
    <x v="0"/>
    <x v="4"/>
    <x v="0"/>
    <x v="20"/>
    <x v="1"/>
    <x v="10"/>
    <x v="2"/>
  </r>
  <r>
    <x v="1895"/>
    <x v="5"/>
    <x v="2"/>
    <n v="86.4"/>
    <x v="1468"/>
    <x v="69"/>
    <d v="2025-03-12T00:00:00"/>
    <x v="1"/>
    <x v="2"/>
    <x v="1"/>
    <x v="0"/>
    <x v="52"/>
    <x v="3"/>
    <x v="10"/>
    <x v="1"/>
  </r>
  <r>
    <x v="1896"/>
    <x v="6"/>
    <x v="9"/>
    <n v="105"/>
    <x v="1469"/>
    <x v="69"/>
    <d v="2025-03-14T00:00:00"/>
    <x v="1"/>
    <x v="0"/>
    <x v="0"/>
    <x v="0"/>
    <x v="13"/>
    <x v="2"/>
    <x v="10"/>
    <x v="1"/>
  </r>
  <r>
    <x v="1897"/>
    <x v="18"/>
    <x v="0"/>
    <n v="33"/>
    <x v="940"/>
    <x v="69"/>
    <d v="2025-03-14T00:00:00"/>
    <x v="1"/>
    <x v="4"/>
    <x v="0"/>
    <x v="0"/>
    <x v="21"/>
    <x v="2"/>
    <x v="10"/>
    <x v="1"/>
  </r>
  <r>
    <x v="1898"/>
    <x v="6"/>
    <x v="9"/>
    <n v="106.6"/>
    <x v="1470"/>
    <x v="69"/>
    <d v="2025-03-24T00:00:00"/>
    <x v="2"/>
    <x v="2"/>
    <x v="0"/>
    <x v="0"/>
    <x v="1"/>
    <x v="10"/>
    <x v="10"/>
    <x v="2"/>
  </r>
  <r>
    <x v="1899"/>
    <x v="10"/>
    <x v="46"/>
    <n v="26.8"/>
    <x v="1471"/>
    <x v="69"/>
    <d v="2025-03-12T00:00:00"/>
    <x v="2"/>
    <x v="2"/>
    <x v="0"/>
    <x v="0"/>
    <x v="1"/>
    <x v="3"/>
    <x v="10"/>
    <x v="2"/>
  </r>
  <r>
    <x v="1900"/>
    <x v="17"/>
    <x v="9"/>
    <n v="25.8"/>
    <x v="309"/>
    <x v="69"/>
    <d v="2025-03-11T00:00:00"/>
    <x v="2"/>
    <x v="1"/>
    <x v="2"/>
    <x v="0"/>
    <x v="3"/>
    <x v="7"/>
    <x v="10"/>
    <x v="2"/>
  </r>
  <r>
    <x v="1901"/>
    <x v="2"/>
    <x v="2"/>
    <n v="217"/>
    <x v="1472"/>
    <x v="69"/>
    <d v="2025-03-12T00:00:00"/>
    <x v="2"/>
    <x v="1"/>
    <x v="1"/>
    <x v="0"/>
    <x v="3"/>
    <x v="3"/>
    <x v="10"/>
    <x v="2"/>
  </r>
  <r>
    <x v="1902"/>
    <x v="2"/>
    <x v="1"/>
    <n v="97.3"/>
    <x v="1473"/>
    <x v="69"/>
    <d v="2025-03-12T00:00:00"/>
    <x v="1"/>
    <x v="2"/>
    <x v="4"/>
    <x v="0"/>
    <x v="3"/>
    <x v="3"/>
    <x v="10"/>
    <x v="1"/>
  </r>
  <r>
    <x v="1903"/>
    <x v="1"/>
    <x v="0"/>
    <n v="49.8"/>
    <x v="1474"/>
    <x v="69"/>
    <d v="2025-03-12T00:00:00"/>
    <x v="2"/>
    <x v="0"/>
    <x v="0"/>
    <x v="0"/>
    <x v="3"/>
    <x v="3"/>
    <x v="10"/>
    <x v="2"/>
  </r>
  <r>
    <x v="1904"/>
    <x v="12"/>
    <x v="9"/>
    <n v="32.6"/>
    <x v="1475"/>
    <x v="69"/>
    <d v="2025-03-12T00:00:00"/>
    <x v="2"/>
    <x v="0"/>
    <x v="0"/>
    <x v="0"/>
    <x v="3"/>
    <x v="3"/>
    <x v="10"/>
    <x v="2"/>
  </r>
  <r>
    <x v="1905"/>
    <x v="9"/>
    <x v="1"/>
    <n v="40.1"/>
    <x v="556"/>
    <x v="69"/>
    <d v="2025-03-14T00:00:00"/>
    <x v="1"/>
    <x v="1"/>
    <x v="2"/>
    <x v="0"/>
    <x v="3"/>
    <x v="2"/>
    <x v="10"/>
    <x v="1"/>
  </r>
  <r>
    <x v="1906"/>
    <x v="10"/>
    <x v="1"/>
    <n v="49.4"/>
    <x v="197"/>
    <x v="69"/>
    <d v="2025-03-13T00:00:00"/>
    <x v="1"/>
    <x v="1"/>
    <x v="0"/>
    <x v="0"/>
    <x v="3"/>
    <x v="1"/>
    <x v="10"/>
    <x v="1"/>
  </r>
  <r>
    <x v="1907"/>
    <x v="2"/>
    <x v="0"/>
    <n v="67.3"/>
    <x v="1476"/>
    <x v="69"/>
    <d v="2025-03-12T00:00:00"/>
    <x v="2"/>
    <x v="0"/>
    <x v="2"/>
    <x v="0"/>
    <x v="3"/>
    <x v="3"/>
    <x v="10"/>
    <x v="2"/>
  </r>
  <r>
    <x v="1908"/>
    <x v="18"/>
    <x v="12"/>
    <n v="44.5"/>
    <x v="394"/>
    <x v="69"/>
    <d v="2025-03-14T00:00:00"/>
    <x v="0"/>
    <x v="1"/>
    <x v="0"/>
    <x v="0"/>
    <x v="3"/>
    <x v="2"/>
    <x v="10"/>
    <x v="0"/>
  </r>
  <r>
    <x v="1909"/>
    <x v="6"/>
    <x v="5"/>
    <n v="111.1"/>
    <x v="1477"/>
    <x v="69"/>
    <d v="2025-03-12T00:00:00"/>
    <x v="2"/>
    <x v="4"/>
    <x v="0"/>
    <x v="0"/>
    <x v="3"/>
    <x v="3"/>
    <x v="10"/>
    <x v="2"/>
  </r>
  <r>
    <x v="1910"/>
    <x v="8"/>
    <x v="2"/>
    <n v="19.7"/>
    <x v="1478"/>
    <x v="69"/>
    <d v="2025-03-12T00:00:00"/>
    <x v="2"/>
    <x v="4"/>
    <x v="4"/>
    <x v="0"/>
    <x v="3"/>
    <x v="3"/>
    <x v="10"/>
    <x v="2"/>
  </r>
  <r>
    <x v="1911"/>
    <x v="1"/>
    <x v="0"/>
    <n v="40.299999999999997"/>
    <x v="518"/>
    <x v="69"/>
    <d v="2025-03-12T00:00:00"/>
    <x v="3"/>
    <x v="1"/>
    <x v="0"/>
    <x v="0"/>
    <x v="3"/>
    <x v="3"/>
    <x v="10"/>
    <x v="3"/>
  </r>
  <r>
    <x v="1912"/>
    <x v="6"/>
    <x v="1"/>
    <n v="108.8"/>
    <x v="1479"/>
    <x v="69"/>
    <d v="2025-03-16T00:00:00"/>
    <x v="1"/>
    <x v="0"/>
    <x v="2"/>
    <x v="0"/>
    <x v="6"/>
    <x v="0"/>
    <x v="10"/>
    <x v="1"/>
  </r>
  <r>
    <x v="1913"/>
    <x v="8"/>
    <x v="2"/>
    <n v="48.2"/>
    <x v="1435"/>
    <x v="69"/>
    <d v="2025-03-16T00:00:00"/>
    <x v="2"/>
    <x v="4"/>
    <x v="0"/>
    <x v="0"/>
    <x v="7"/>
    <x v="0"/>
    <x v="10"/>
    <x v="2"/>
  </r>
  <r>
    <x v="1914"/>
    <x v="2"/>
    <x v="2"/>
    <n v="104.7"/>
    <x v="1480"/>
    <x v="69"/>
    <d v="2025-03-13T00:00:00"/>
    <x v="2"/>
    <x v="0"/>
    <x v="1"/>
    <x v="0"/>
    <x v="7"/>
    <x v="1"/>
    <x v="10"/>
    <x v="2"/>
  </r>
  <r>
    <x v="1915"/>
    <x v="1"/>
    <x v="1"/>
    <n v="80.599999999999994"/>
    <x v="154"/>
    <x v="69"/>
    <d v="2025-03-11T00:00:00"/>
    <x v="2"/>
    <x v="1"/>
    <x v="0"/>
    <x v="0"/>
    <x v="8"/>
    <x v="7"/>
    <x v="10"/>
    <x v="2"/>
  </r>
  <r>
    <x v="1916"/>
    <x v="6"/>
    <x v="0"/>
    <n v="65.5"/>
    <x v="1481"/>
    <x v="69"/>
    <d v="2025-03-13T00:00:00"/>
    <x v="3"/>
    <x v="1"/>
    <x v="0"/>
    <x v="0"/>
    <x v="8"/>
    <x v="1"/>
    <x v="10"/>
    <x v="3"/>
  </r>
  <r>
    <x v="1917"/>
    <x v="9"/>
    <x v="2"/>
    <n v="61.4"/>
    <x v="1173"/>
    <x v="69"/>
    <d v="2025-03-13T00:00:00"/>
    <x v="2"/>
    <x v="4"/>
    <x v="2"/>
    <x v="0"/>
    <x v="8"/>
    <x v="1"/>
    <x v="10"/>
    <x v="2"/>
  </r>
  <r>
    <x v="1918"/>
    <x v="0"/>
    <x v="0"/>
    <n v="12.5"/>
    <x v="1482"/>
    <x v="70"/>
    <d v="2025-03-15T00:00:00"/>
    <x v="2"/>
    <x v="0"/>
    <x v="1"/>
    <x v="0"/>
    <x v="8"/>
    <x v="2"/>
    <x v="10"/>
    <x v="2"/>
  </r>
  <r>
    <x v="1919"/>
    <x v="4"/>
    <x v="12"/>
    <n v="35.1"/>
    <x v="381"/>
    <x v="70"/>
    <d v="2025-03-13T00:00:00"/>
    <x v="1"/>
    <x v="2"/>
    <x v="1"/>
    <x v="0"/>
    <x v="17"/>
    <x v="3"/>
    <x v="10"/>
    <x v="1"/>
  </r>
  <r>
    <x v="1920"/>
    <x v="5"/>
    <x v="1"/>
    <n v="55.7"/>
    <x v="1483"/>
    <x v="70"/>
    <d v="2025-03-13T00:00:00"/>
    <x v="1"/>
    <x v="0"/>
    <x v="1"/>
    <x v="0"/>
    <x v="26"/>
    <x v="3"/>
    <x v="10"/>
    <x v="1"/>
  </r>
  <r>
    <x v="1921"/>
    <x v="7"/>
    <x v="1"/>
    <n v="57.7"/>
    <x v="1484"/>
    <x v="70"/>
    <d v="2025-03-14T00:00:00"/>
    <x v="1"/>
    <x v="4"/>
    <x v="1"/>
    <x v="0"/>
    <x v="9"/>
    <x v="1"/>
    <x v="10"/>
    <x v="1"/>
  </r>
  <r>
    <x v="1922"/>
    <x v="2"/>
    <x v="13"/>
    <n v="85.7"/>
    <x v="1485"/>
    <x v="70"/>
    <d v="2025-03-13T00:00:00"/>
    <x v="1"/>
    <x v="3"/>
    <x v="2"/>
    <x v="0"/>
    <x v="9"/>
    <x v="3"/>
    <x v="10"/>
    <x v="1"/>
  </r>
  <r>
    <x v="1923"/>
    <x v="2"/>
    <x v="2"/>
    <n v="86.9"/>
    <x v="1486"/>
    <x v="70"/>
    <d v="2025-03-14T00:00:00"/>
    <x v="2"/>
    <x v="1"/>
    <x v="0"/>
    <x v="0"/>
    <x v="11"/>
    <x v="1"/>
    <x v="10"/>
    <x v="2"/>
  </r>
  <r>
    <x v="1924"/>
    <x v="18"/>
    <x v="1"/>
    <n v="46.4"/>
    <x v="1487"/>
    <x v="70"/>
    <d v="2025-03-15T00:00:00"/>
    <x v="2"/>
    <x v="4"/>
    <x v="0"/>
    <x v="0"/>
    <x v="11"/>
    <x v="2"/>
    <x v="10"/>
    <x v="2"/>
  </r>
  <r>
    <x v="1925"/>
    <x v="5"/>
    <x v="2"/>
    <n v="25.4"/>
    <x v="1488"/>
    <x v="70"/>
    <d v="2025-03-12T00:00:00"/>
    <x v="2"/>
    <x v="2"/>
    <x v="2"/>
    <x v="0"/>
    <x v="18"/>
    <x v="7"/>
    <x v="10"/>
    <x v="2"/>
  </r>
  <r>
    <x v="1926"/>
    <x v="10"/>
    <x v="2"/>
    <n v="47.8"/>
    <x v="1489"/>
    <x v="70"/>
    <d v="2025-03-12T00:00:00"/>
    <x v="0"/>
    <x v="2"/>
    <x v="2"/>
    <x v="0"/>
    <x v="19"/>
    <x v="7"/>
    <x v="10"/>
    <x v="0"/>
  </r>
  <r>
    <x v="1927"/>
    <x v="8"/>
    <x v="10"/>
    <n v="18.399999999999999"/>
    <x v="1490"/>
    <x v="70"/>
    <d v="2025-03-14T00:00:00"/>
    <x v="3"/>
    <x v="2"/>
    <x v="0"/>
    <x v="0"/>
    <x v="20"/>
    <x v="1"/>
    <x v="10"/>
    <x v="3"/>
  </r>
  <r>
    <x v="1928"/>
    <x v="12"/>
    <x v="2"/>
    <n v="65.5"/>
    <x v="756"/>
    <x v="70"/>
    <d v="2025-03-20T00:00:00"/>
    <x v="2"/>
    <x v="0"/>
    <x v="0"/>
    <x v="0"/>
    <x v="21"/>
    <x v="9"/>
    <x v="10"/>
    <x v="2"/>
  </r>
  <r>
    <x v="1929"/>
    <x v="10"/>
    <x v="1"/>
    <n v="50.6"/>
    <x v="855"/>
    <x v="70"/>
    <d v="2025-03-15T00:00:00"/>
    <x v="1"/>
    <x v="2"/>
    <x v="4"/>
    <x v="0"/>
    <x v="21"/>
    <x v="2"/>
    <x v="10"/>
    <x v="1"/>
  </r>
  <r>
    <x v="1930"/>
    <x v="3"/>
    <x v="9"/>
    <n v="69"/>
    <x v="1491"/>
    <x v="70"/>
    <d v="2025-03-16T00:00:00"/>
    <x v="1"/>
    <x v="3"/>
    <x v="0"/>
    <x v="0"/>
    <x v="21"/>
    <x v="5"/>
    <x v="10"/>
    <x v="1"/>
  </r>
  <r>
    <x v="1931"/>
    <x v="9"/>
    <x v="8"/>
    <n v="51.1"/>
    <x v="18"/>
    <x v="70"/>
    <d v="2025-03-14T00:00:00"/>
    <x v="2"/>
    <x v="0"/>
    <x v="0"/>
    <x v="0"/>
    <x v="1"/>
    <x v="1"/>
    <x v="10"/>
    <x v="2"/>
  </r>
  <r>
    <x v="1932"/>
    <x v="9"/>
    <x v="0"/>
    <n v="36.1"/>
    <x v="168"/>
    <x v="70"/>
    <d v="2025-03-13T00:00:00"/>
    <x v="2"/>
    <x v="0"/>
    <x v="2"/>
    <x v="0"/>
    <x v="34"/>
    <x v="3"/>
    <x v="10"/>
    <x v="2"/>
  </r>
  <r>
    <x v="1933"/>
    <x v="14"/>
    <x v="0"/>
    <n v="18.7"/>
    <x v="1492"/>
    <x v="70"/>
    <d v="2025-03-13T00:00:00"/>
    <x v="1"/>
    <x v="0"/>
    <x v="0"/>
    <x v="0"/>
    <x v="3"/>
    <x v="3"/>
    <x v="10"/>
    <x v="1"/>
  </r>
  <r>
    <x v="1934"/>
    <x v="17"/>
    <x v="0"/>
    <n v="30.1"/>
    <x v="1493"/>
    <x v="70"/>
    <d v="2025-03-15T00:00:00"/>
    <x v="2"/>
    <x v="3"/>
    <x v="1"/>
    <x v="0"/>
    <x v="3"/>
    <x v="2"/>
    <x v="10"/>
    <x v="2"/>
  </r>
  <r>
    <x v="1935"/>
    <x v="8"/>
    <x v="0"/>
    <n v="16.3"/>
    <x v="1494"/>
    <x v="70"/>
    <d v="2025-03-13T00:00:00"/>
    <x v="1"/>
    <x v="3"/>
    <x v="0"/>
    <x v="0"/>
    <x v="3"/>
    <x v="3"/>
    <x v="10"/>
    <x v="1"/>
  </r>
  <r>
    <x v="1936"/>
    <x v="1"/>
    <x v="2"/>
    <n v="63.8"/>
    <x v="1348"/>
    <x v="70"/>
    <d v="2025-03-17T00:00:00"/>
    <x v="2"/>
    <x v="2"/>
    <x v="1"/>
    <x v="0"/>
    <x v="3"/>
    <x v="0"/>
    <x v="10"/>
    <x v="2"/>
  </r>
  <r>
    <x v="1937"/>
    <x v="1"/>
    <x v="3"/>
    <n v="73.900000000000006"/>
    <x v="1495"/>
    <x v="70"/>
    <d v="2025-03-12T00:00:00"/>
    <x v="2"/>
    <x v="0"/>
    <x v="1"/>
    <x v="0"/>
    <x v="3"/>
    <x v="7"/>
    <x v="10"/>
    <x v="2"/>
  </r>
  <r>
    <x v="1938"/>
    <x v="0"/>
    <x v="1"/>
    <n v="20.2"/>
    <x v="1400"/>
    <x v="70"/>
    <d v="2025-03-13T00:00:00"/>
    <x v="1"/>
    <x v="0"/>
    <x v="1"/>
    <x v="0"/>
    <x v="3"/>
    <x v="3"/>
    <x v="10"/>
    <x v="1"/>
  </r>
  <r>
    <x v="1939"/>
    <x v="11"/>
    <x v="5"/>
    <n v="29.5"/>
    <x v="1496"/>
    <x v="70"/>
    <d v="2025-03-13T00:00:00"/>
    <x v="1"/>
    <x v="0"/>
    <x v="0"/>
    <x v="0"/>
    <x v="3"/>
    <x v="3"/>
    <x v="10"/>
    <x v="1"/>
  </r>
  <r>
    <x v="1940"/>
    <x v="15"/>
    <x v="3"/>
    <n v="37.9"/>
    <x v="1497"/>
    <x v="70"/>
    <d v="2025-03-13T00:00:00"/>
    <x v="1"/>
    <x v="1"/>
    <x v="0"/>
    <x v="0"/>
    <x v="3"/>
    <x v="3"/>
    <x v="10"/>
    <x v="1"/>
  </r>
  <r>
    <x v="1941"/>
    <x v="2"/>
    <x v="0"/>
    <n v="56.5"/>
    <x v="1498"/>
    <x v="70"/>
    <d v="2025-03-13T00:00:00"/>
    <x v="2"/>
    <x v="2"/>
    <x v="1"/>
    <x v="0"/>
    <x v="3"/>
    <x v="3"/>
    <x v="10"/>
    <x v="2"/>
  </r>
  <r>
    <x v="1942"/>
    <x v="2"/>
    <x v="1"/>
    <n v="66.900000000000006"/>
    <x v="981"/>
    <x v="70"/>
    <d v="2025-03-18T00:00:00"/>
    <x v="1"/>
    <x v="1"/>
    <x v="4"/>
    <x v="0"/>
    <x v="25"/>
    <x v="4"/>
    <x v="10"/>
    <x v="1"/>
  </r>
  <r>
    <x v="1943"/>
    <x v="2"/>
    <x v="9"/>
    <n v="51.9"/>
    <x v="1499"/>
    <x v="70"/>
    <d v="2025-03-15T00:00:00"/>
    <x v="1"/>
    <x v="1"/>
    <x v="0"/>
    <x v="0"/>
    <x v="7"/>
    <x v="2"/>
    <x v="10"/>
    <x v="1"/>
  </r>
  <r>
    <x v="1944"/>
    <x v="2"/>
    <x v="1"/>
    <n v="75.599999999999994"/>
    <x v="277"/>
    <x v="70"/>
    <d v="2025-03-15T00:00:00"/>
    <x v="1"/>
    <x v="1"/>
    <x v="0"/>
    <x v="0"/>
    <x v="8"/>
    <x v="2"/>
    <x v="10"/>
    <x v="1"/>
  </r>
  <r>
    <x v="1945"/>
    <x v="12"/>
    <x v="13"/>
    <n v="47.3"/>
    <x v="592"/>
    <x v="70"/>
    <d v="2025-03-23T00:00:00"/>
    <x v="1"/>
    <x v="0"/>
    <x v="0"/>
    <x v="0"/>
    <x v="8"/>
    <x v="11"/>
    <x v="10"/>
    <x v="1"/>
  </r>
  <r>
    <x v="1946"/>
    <x v="4"/>
    <x v="0"/>
    <n v="20.6"/>
    <x v="1500"/>
    <x v="70"/>
    <d v="2025-03-13T00:00:00"/>
    <x v="0"/>
    <x v="0"/>
    <x v="1"/>
    <x v="0"/>
    <x v="8"/>
    <x v="3"/>
    <x v="10"/>
    <x v="0"/>
  </r>
  <r>
    <x v="1947"/>
    <x v="6"/>
    <x v="2"/>
    <n v="49.7"/>
    <x v="1501"/>
    <x v="70"/>
    <d v="2025-03-14T00:00:00"/>
    <x v="1"/>
    <x v="0"/>
    <x v="1"/>
    <x v="0"/>
    <x v="8"/>
    <x v="1"/>
    <x v="10"/>
    <x v="1"/>
  </r>
  <r>
    <x v="1948"/>
    <x v="3"/>
    <x v="0"/>
    <n v="37.9"/>
    <x v="853"/>
    <x v="70"/>
    <d v="2025-03-14T00:00:00"/>
    <x v="2"/>
    <x v="0"/>
    <x v="0"/>
    <x v="0"/>
    <x v="8"/>
    <x v="1"/>
    <x v="10"/>
    <x v="2"/>
  </r>
  <r>
    <x v="1949"/>
    <x v="13"/>
    <x v="20"/>
    <n v="32"/>
    <x v="1502"/>
    <x v="70"/>
    <d v="2025-03-14T00:00:00"/>
    <x v="2"/>
    <x v="4"/>
    <x v="0"/>
    <x v="0"/>
    <x v="11"/>
    <x v="1"/>
    <x v="10"/>
    <x v="2"/>
  </r>
  <r>
    <x v="1950"/>
    <x v="10"/>
    <x v="16"/>
    <n v="38.5"/>
    <x v="1503"/>
    <x v="71"/>
    <d v="2025-03-14T00:00:00"/>
    <x v="1"/>
    <x v="0"/>
    <x v="2"/>
    <x v="0"/>
    <x v="11"/>
    <x v="3"/>
    <x v="10"/>
    <x v="1"/>
  </r>
  <r>
    <x v="1951"/>
    <x v="0"/>
    <x v="12"/>
    <n v="11.7"/>
    <x v="86"/>
    <x v="71"/>
    <d v="2025-03-15T00:00:00"/>
    <x v="2"/>
    <x v="1"/>
    <x v="0"/>
    <x v="0"/>
    <x v="20"/>
    <x v="1"/>
    <x v="10"/>
    <x v="2"/>
  </r>
  <r>
    <x v="1952"/>
    <x v="3"/>
    <x v="13"/>
    <n v="83.8"/>
    <x v="1504"/>
    <x v="71"/>
    <d v="2025-03-14T00:00:00"/>
    <x v="1"/>
    <x v="0"/>
    <x v="0"/>
    <x v="0"/>
    <x v="21"/>
    <x v="3"/>
    <x v="10"/>
    <x v="1"/>
  </r>
  <r>
    <x v="1953"/>
    <x v="0"/>
    <x v="3"/>
    <n v="14"/>
    <x v="11"/>
    <x v="71"/>
    <d v="2025-03-16T00:00:00"/>
    <x v="1"/>
    <x v="0"/>
    <x v="1"/>
    <x v="0"/>
    <x v="22"/>
    <x v="2"/>
    <x v="10"/>
    <x v="1"/>
  </r>
  <r>
    <x v="1954"/>
    <x v="16"/>
    <x v="12"/>
    <n v="77.3"/>
    <x v="1505"/>
    <x v="71"/>
    <d v="2025-03-15T00:00:00"/>
    <x v="2"/>
    <x v="4"/>
    <x v="2"/>
    <x v="0"/>
    <x v="3"/>
    <x v="1"/>
    <x v="10"/>
    <x v="2"/>
  </r>
  <r>
    <x v="1955"/>
    <x v="2"/>
    <x v="1"/>
    <n v="76.900000000000006"/>
    <x v="1506"/>
    <x v="71"/>
    <d v="2025-03-17T00:00:00"/>
    <x v="2"/>
    <x v="0"/>
    <x v="1"/>
    <x v="0"/>
    <x v="3"/>
    <x v="5"/>
    <x v="10"/>
    <x v="2"/>
  </r>
  <r>
    <x v="1956"/>
    <x v="1"/>
    <x v="0"/>
    <n v="48"/>
    <x v="510"/>
    <x v="71"/>
    <d v="2025-03-15T00:00:00"/>
    <x v="2"/>
    <x v="1"/>
    <x v="2"/>
    <x v="0"/>
    <x v="3"/>
    <x v="1"/>
    <x v="10"/>
    <x v="2"/>
  </r>
  <r>
    <x v="1957"/>
    <x v="2"/>
    <x v="0"/>
    <n v="94.5"/>
    <x v="234"/>
    <x v="71"/>
    <d v="2025-03-16T00:00:00"/>
    <x v="1"/>
    <x v="1"/>
    <x v="1"/>
    <x v="0"/>
    <x v="3"/>
    <x v="2"/>
    <x v="10"/>
    <x v="1"/>
  </r>
  <r>
    <x v="1958"/>
    <x v="10"/>
    <x v="2"/>
    <n v="58.4"/>
    <x v="122"/>
    <x v="71"/>
    <d v="2025-03-15T00:00:00"/>
    <x v="2"/>
    <x v="1"/>
    <x v="2"/>
    <x v="0"/>
    <x v="3"/>
    <x v="1"/>
    <x v="10"/>
    <x v="2"/>
  </r>
  <r>
    <x v="1959"/>
    <x v="7"/>
    <x v="15"/>
    <n v="42.2"/>
    <x v="1507"/>
    <x v="71"/>
    <d v="2025-03-13T00:00:00"/>
    <x v="1"/>
    <x v="0"/>
    <x v="0"/>
    <x v="0"/>
    <x v="25"/>
    <x v="7"/>
    <x v="10"/>
    <x v="1"/>
  </r>
  <r>
    <x v="1960"/>
    <x v="6"/>
    <x v="1"/>
    <n v="152.19999999999999"/>
    <x v="1508"/>
    <x v="71"/>
    <d v="2025-03-14T00:00:00"/>
    <x v="1"/>
    <x v="4"/>
    <x v="1"/>
    <x v="0"/>
    <x v="25"/>
    <x v="3"/>
    <x v="10"/>
    <x v="1"/>
  </r>
  <r>
    <x v="1961"/>
    <x v="6"/>
    <x v="25"/>
    <n v="72"/>
    <x v="1509"/>
    <x v="71"/>
    <d v="2025-03-14T00:00:00"/>
    <x v="1"/>
    <x v="0"/>
    <x v="1"/>
    <x v="0"/>
    <x v="6"/>
    <x v="3"/>
    <x v="10"/>
    <x v="1"/>
  </r>
  <r>
    <x v="1962"/>
    <x v="1"/>
    <x v="44"/>
    <n v="70.900000000000006"/>
    <x v="1510"/>
    <x v="71"/>
    <d v="2025-03-14T00:00:00"/>
    <x v="2"/>
    <x v="2"/>
    <x v="0"/>
    <x v="0"/>
    <x v="8"/>
    <x v="3"/>
    <x v="10"/>
    <x v="2"/>
  </r>
  <r>
    <x v="1963"/>
    <x v="2"/>
    <x v="1"/>
    <n v="53.7"/>
    <x v="1511"/>
    <x v="71"/>
    <d v="2025-03-14T00:00:00"/>
    <x v="1"/>
    <x v="2"/>
    <x v="2"/>
    <x v="0"/>
    <x v="8"/>
    <x v="3"/>
    <x v="10"/>
    <x v="1"/>
  </r>
  <r>
    <x v="1964"/>
    <x v="9"/>
    <x v="12"/>
    <n v="42.9"/>
    <x v="1512"/>
    <x v="71"/>
    <d v="2025-03-14T00:00:00"/>
    <x v="2"/>
    <x v="2"/>
    <x v="4"/>
    <x v="0"/>
    <x v="9"/>
    <x v="3"/>
    <x v="10"/>
    <x v="2"/>
  </r>
  <r>
    <x v="1965"/>
    <x v="2"/>
    <x v="3"/>
    <n v="107.5"/>
    <x v="1513"/>
    <x v="71"/>
    <d v="2025-03-14T00:00:00"/>
    <x v="1"/>
    <x v="1"/>
    <x v="0"/>
    <x v="0"/>
    <x v="11"/>
    <x v="3"/>
    <x v="10"/>
    <x v="1"/>
  </r>
  <r>
    <x v="1966"/>
    <x v="17"/>
    <x v="27"/>
    <n v="21.5"/>
    <x v="1213"/>
    <x v="71"/>
    <d v="2025-03-14T00:00:00"/>
    <x v="1"/>
    <x v="1"/>
    <x v="1"/>
    <x v="0"/>
    <x v="32"/>
    <x v="3"/>
    <x v="10"/>
    <x v="1"/>
  </r>
  <r>
    <x v="1967"/>
    <x v="3"/>
    <x v="9"/>
    <n v="85.3"/>
    <x v="1514"/>
    <x v="71"/>
    <d v="2025-03-15T00:00:00"/>
    <x v="2"/>
    <x v="3"/>
    <x v="0"/>
    <x v="0"/>
    <x v="18"/>
    <x v="1"/>
    <x v="10"/>
    <x v="2"/>
  </r>
  <r>
    <x v="1968"/>
    <x v="7"/>
    <x v="9"/>
    <n v="80.8"/>
    <x v="1515"/>
    <x v="71"/>
    <d v="2025-03-21T00:00:00"/>
    <x v="3"/>
    <x v="1"/>
    <x v="1"/>
    <x v="0"/>
    <x v="19"/>
    <x v="9"/>
    <x v="10"/>
    <x v="3"/>
  </r>
  <r>
    <x v="1969"/>
    <x v="2"/>
    <x v="2"/>
    <n v="123.1"/>
    <x v="1516"/>
    <x v="71"/>
    <d v="2025-03-15T00:00:00"/>
    <x v="0"/>
    <x v="2"/>
    <x v="0"/>
    <x v="0"/>
    <x v="21"/>
    <x v="1"/>
    <x v="10"/>
    <x v="0"/>
  </r>
  <r>
    <x v="1970"/>
    <x v="8"/>
    <x v="1"/>
    <n v="36.9"/>
    <x v="1517"/>
    <x v="71"/>
    <d v="2025-03-15T00:00:00"/>
    <x v="2"/>
    <x v="2"/>
    <x v="4"/>
    <x v="0"/>
    <x v="51"/>
    <x v="1"/>
    <x v="10"/>
    <x v="2"/>
  </r>
  <r>
    <x v="1971"/>
    <x v="11"/>
    <x v="9"/>
    <n v="40"/>
    <x v="308"/>
    <x v="71"/>
    <d v="2025-03-14T00:00:00"/>
    <x v="1"/>
    <x v="0"/>
    <x v="0"/>
    <x v="0"/>
    <x v="1"/>
    <x v="3"/>
    <x v="10"/>
    <x v="1"/>
  </r>
  <r>
    <x v="1972"/>
    <x v="6"/>
    <x v="2"/>
    <n v="55.5"/>
    <x v="1256"/>
    <x v="71"/>
    <d v="2025-03-14T00:00:00"/>
    <x v="1"/>
    <x v="4"/>
    <x v="2"/>
    <x v="0"/>
    <x v="1"/>
    <x v="3"/>
    <x v="10"/>
    <x v="1"/>
  </r>
  <r>
    <x v="1973"/>
    <x v="0"/>
    <x v="12"/>
    <n v="20.5"/>
    <x v="1518"/>
    <x v="71"/>
    <d v="2025-03-17T00:00:00"/>
    <x v="2"/>
    <x v="4"/>
    <x v="0"/>
    <x v="0"/>
    <x v="1"/>
    <x v="5"/>
    <x v="10"/>
    <x v="2"/>
  </r>
  <r>
    <x v="1974"/>
    <x v="18"/>
    <x v="12"/>
    <n v="50.1"/>
    <x v="1519"/>
    <x v="71"/>
    <d v="2025-03-14T00:00:00"/>
    <x v="2"/>
    <x v="4"/>
    <x v="0"/>
    <x v="0"/>
    <x v="1"/>
    <x v="3"/>
    <x v="10"/>
    <x v="2"/>
  </r>
  <r>
    <x v="1975"/>
    <x v="9"/>
    <x v="0"/>
    <n v="35.9"/>
    <x v="1520"/>
    <x v="71"/>
    <d v="2025-03-15T00:00:00"/>
    <x v="1"/>
    <x v="1"/>
    <x v="2"/>
    <x v="0"/>
    <x v="1"/>
    <x v="1"/>
    <x v="10"/>
    <x v="1"/>
  </r>
  <r>
    <x v="1976"/>
    <x v="13"/>
    <x v="12"/>
    <n v="29.4"/>
    <x v="833"/>
    <x v="72"/>
    <d v="2025-03-15T00:00:00"/>
    <x v="1"/>
    <x v="2"/>
    <x v="2"/>
    <x v="0"/>
    <x v="33"/>
    <x v="3"/>
    <x v="10"/>
    <x v="1"/>
  </r>
  <r>
    <x v="1977"/>
    <x v="8"/>
    <x v="9"/>
    <n v="29.1"/>
    <x v="973"/>
    <x v="72"/>
    <d v="2025-03-22T00:00:00"/>
    <x v="3"/>
    <x v="2"/>
    <x v="1"/>
    <x v="0"/>
    <x v="33"/>
    <x v="9"/>
    <x v="10"/>
    <x v="3"/>
  </r>
  <r>
    <x v="1978"/>
    <x v="8"/>
    <x v="2"/>
    <n v="33.5"/>
    <x v="427"/>
    <x v="72"/>
    <d v="2025-03-26T00:00:00"/>
    <x v="1"/>
    <x v="0"/>
    <x v="2"/>
    <x v="0"/>
    <x v="22"/>
    <x v="13"/>
    <x v="10"/>
    <x v="1"/>
  </r>
  <r>
    <x v="1979"/>
    <x v="4"/>
    <x v="7"/>
    <n v="36"/>
    <x v="1521"/>
    <x v="72"/>
    <d v="2025-03-14T00:00:00"/>
    <x v="1"/>
    <x v="3"/>
    <x v="2"/>
    <x v="0"/>
    <x v="3"/>
    <x v="7"/>
    <x v="10"/>
    <x v="1"/>
  </r>
  <r>
    <x v="1980"/>
    <x v="16"/>
    <x v="2"/>
    <n v="57.3"/>
    <x v="1522"/>
    <x v="72"/>
    <d v="2025-03-18T00:00:00"/>
    <x v="2"/>
    <x v="0"/>
    <x v="2"/>
    <x v="0"/>
    <x v="3"/>
    <x v="5"/>
    <x v="10"/>
    <x v="2"/>
  </r>
  <r>
    <x v="1981"/>
    <x v="1"/>
    <x v="0"/>
    <n v="81.400000000000006"/>
    <x v="1523"/>
    <x v="72"/>
    <d v="2025-03-15T00:00:00"/>
    <x v="2"/>
    <x v="2"/>
    <x v="2"/>
    <x v="0"/>
    <x v="3"/>
    <x v="3"/>
    <x v="10"/>
    <x v="2"/>
  </r>
  <r>
    <x v="1982"/>
    <x v="10"/>
    <x v="1"/>
    <n v="35.299999999999997"/>
    <x v="527"/>
    <x v="72"/>
    <d v="2025-03-18T00:00:00"/>
    <x v="1"/>
    <x v="0"/>
    <x v="2"/>
    <x v="0"/>
    <x v="3"/>
    <x v="5"/>
    <x v="10"/>
    <x v="1"/>
  </r>
  <r>
    <x v="1983"/>
    <x v="3"/>
    <x v="0"/>
    <n v="36.1"/>
    <x v="168"/>
    <x v="72"/>
    <d v="2025-03-15T00:00:00"/>
    <x v="2"/>
    <x v="4"/>
    <x v="0"/>
    <x v="0"/>
    <x v="3"/>
    <x v="3"/>
    <x v="10"/>
    <x v="2"/>
  </r>
  <r>
    <x v="1984"/>
    <x v="1"/>
    <x v="1"/>
    <n v="36.700000000000003"/>
    <x v="1524"/>
    <x v="72"/>
    <d v="2025-03-16T00:00:00"/>
    <x v="2"/>
    <x v="0"/>
    <x v="2"/>
    <x v="0"/>
    <x v="3"/>
    <x v="1"/>
    <x v="10"/>
    <x v="2"/>
  </r>
  <r>
    <x v="1985"/>
    <x v="10"/>
    <x v="0"/>
    <n v="20.9"/>
    <x v="798"/>
    <x v="72"/>
    <d v="2025-03-16T00:00:00"/>
    <x v="2"/>
    <x v="0"/>
    <x v="4"/>
    <x v="0"/>
    <x v="3"/>
    <x v="1"/>
    <x v="10"/>
    <x v="2"/>
  </r>
  <r>
    <x v="1986"/>
    <x v="12"/>
    <x v="2"/>
    <n v="58.8"/>
    <x v="1525"/>
    <x v="72"/>
    <d v="2025-03-18T00:00:00"/>
    <x v="1"/>
    <x v="0"/>
    <x v="2"/>
    <x v="0"/>
    <x v="25"/>
    <x v="5"/>
    <x v="10"/>
    <x v="1"/>
  </r>
  <r>
    <x v="1987"/>
    <x v="2"/>
    <x v="2"/>
    <n v="97.6"/>
    <x v="1526"/>
    <x v="73"/>
    <d v="2025-03-17T00:00:00"/>
    <x v="0"/>
    <x v="0"/>
    <x v="0"/>
    <x v="0"/>
    <x v="6"/>
    <x v="1"/>
    <x v="10"/>
    <x v="0"/>
  </r>
  <r>
    <x v="1988"/>
    <x v="1"/>
    <x v="1"/>
    <n v="58.7"/>
    <x v="1527"/>
    <x v="73"/>
    <d v="2025-03-18T00:00:00"/>
    <x v="2"/>
    <x v="0"/>
    <x v="1"/>
    <x v="0"/>
    <x v="6"/>
    <x v="2"/>
    <x v="10"/>
    <x v="2"/>
  </r>
  <r>
    <x v="1989"/>
    <x v="6"/>
    <x v="9"/>
    <n v="71.900000000000006"/>
    <x v="1528"/>
    <x v="73"/>
    <d v="2025-03-16T00:00:00"/>
    <x v="0"/>
    <x v="0"/>
    <x v="1"/>
    <x v="0"/>
    <x v="6"/>
    <x v="3"/>
    <x v="10"/>
    <x v="0"/>
  </r>
  <r>
    <x v="1990"/>
    <x v="1"/>
    <x v="1"/>
    <n v="62.4"/>
    <x v="1109"/>
    <x v="73"/>
    <d v="2025-03-17T00:00:00"/>
    <x v="0"/>
    <x v="0"/>
    <x v="1"/>
    <x v="0"/>
    <x v="8"/>
    <x v="1"/>
    <x v="10"/>
    <x v="0"/>
  </r>
  <r>
    <x v="1991"/>
    <x v="6"/>
    <x v="27"/>
    <n v="53.8"/>
    <x v="1529"/>
    <x v="73"/>
    <d v="2025-03-16T00:00:00"/>
    <x v="2"/>
    <x v="1"/>
    <x v="0"/>
    <x v="0"/>
    <x v="8"/>
    <x v="3"/>
    <x v="10"/>
    <x v="2"/>
  </r>
  <r>
    <x v="1992"/>
    <x v="9"/>
    <x v="0"/>
    <n v="43.8"/>
    <x v="328"/>
    <x v="73"/>
    <d v="2025-03-22T00:00:00"/>
    <x v="2"/>
    <x v="0"/>
    <x v="2"/>
    <x v="0"/>
    <x v="8"/>
    <x v="6"/>
    <x v="10"/>
    <x v="2"/>
  </r>
  <r>
    <x v="1993"/>
    <x v="5"/>
    <x v="2"/>
    <n v="53.6"/>
    <x v="1530"/>
    <x v="73"/>
    <d v="2025-03-16T00:00:00"/>
    <x v="1"/>
    <x v="3"/>
    <x v="0"/>
    <x v="0"/>
    <x v="8"/>
    <x v="3"/>
    <x v="10"/>
    <x v="1"/>
  </r>
  <r>
    <x v="1994"/>
    <x v="12"/>
    <x v="1"/>
    <n v="84.3"/>
    <x v="1531"/>
    <x v="73"/>
    <d v="2025-03-18T00:00:00"/>
    <x v="1"/>
    <x v="4"/>
    <x v="1"/>
    <x v="0"/>
    <x v="8"/>
    <x v="2"/>
    <x v="10"/>
    <x v="1"/>
  </r>
  <r>
    <x v="1995"/>
    <x v="6"/>
    <x v="11"/>
    <n v="117.9"/>
    <x v="1532"/>
    <x v="73"/>
    <d v="2025-03-16T00:00:00"/>
    <x v="2"/>
    <x v="1"/>
    <x v="2"/>
    <x v="0"/>
    <x v="8"/>
    <x v="3"/>
    <x v="10"/>
    <x v="2"/>
  </r>
  <r>
    <x v="1996"/>
    <x v="4"/>
    <x v="8"/>
    <n v="30"/>
    <x v="1533"/>
    <x v="73"/>
    <d v="2025-03-16T00:00:00"/>
    <x v="2"/>
    <x v="1"/>
    <x v="0"/>
    <x v="0"/>
    <x v="26"/>
    <x v="3"/>
    <x v="10"/>
    <x v="2"/>
  </r>
  <r>
    <x v="1997"/>
    <x v="14"/>
    <x v="2"/>
    <n v="37.299999999999997"/>
    <x v="1534"/>
    <x v="73"/>
    <d v="2025-03-16T00:00:00"/>
    <x v="1"/>
    <x v="2"/>
    <x v="0"/>
    <x v="0"/>
    <x v="9"/>
    <x v="3"/>
    <x v="10"/>
    <x v="1"/>
  </r>
  <r>
    <x v="1998"/>
    <x v="4"/>
    <x v="11"/>
    <n v="25.1"/>
    <x v="1535"/>
    <x v="73"/>
    <d v="2025-03-17T00:00:00"/>
    <x v="1"/>
    <x v="1"/>
    <x v="2"/>
    <x v="0"/>
    <x v="11"/>
    <x v="1"/>
    <x v="10"/>
    <x v="1"/>
  </r>
  <r>
    <x v="1999"/>
    <x v="8"/>
    <x v="5"/>
    <n v="36"/>
    <x v="501"/>
    <x v="73"/>
    <d v="2025-03-25T00:00:00"/>
    <x v="1"/>
    <x v="1"/>
    <x v="0"/>
    <x v="0"/>
    <x v="18"/>
    <x v="14"/>
    <x v="10"/>
    <x v="1"/>
  </r>
  <r>
    <x v="2000"/>
    <x v="16"/>
    <x v="2"/>
    <n v="48.5"/>
    <x v="973"/>
    <x v="73"/>
    <d v="2025-03-19T00:00:00"/>
    <x v="2"/>
    <x v="1"/>
    <x v="0"/>
    <x v="0"/>
    <x v="19"/>
    <x v="5"/>
    <x v="10"/>
    <x v="2"/>
  </r>
  <r>
    <x v="2001"/>
    <x v="17"/>
    <x v="13"/>
    <n v="21.1"/>
    <x v="1077"/>
    <x v="73"/>
    <d v="2025-03-16T00:00:00"/>
    <x v="1"/>
    <x v="1"/>
    <x v="2"/>
    <x v="0"/>
    <x v="21"/>
    <x v="3"/>
    <x v="10"/>
    <x v="1"/>
  </r>
  <r>
    <x v="2002"/>
    <x v="15"/>
    <x v="21"/>
    <n v="43.2"/>
    <x v="1536"/>
    <x v="73"/>
    <d v="2025-03-16T00:00:00"/>
    <x v="3"/>
    <x v="0"/>
    <x v="1"/>
    <x v="0"/>
    <x v="21"/>
    <x v="3"/>
    <x v="10"/>
    <x v="3"/>
  </r>
  <r>
    <x v="2003"/>
    <x v="9"/>
    <x v="1"/>
    <n v="21.1"/>
    <x v="1283"/>
    <x v="73"/>
    <d v="2025-03-16T00:00:00"/>
    <x v="0"/>
    <x v="3"/>
    <x v="1"/>
    <x v="0"/>
    <x v="21"/>
    <x v="3"/>
    <x v="10"/>
    <x v="0"/>
  </r>
  <r>
    <x v="2004"/>
    <x v="6"/>
    <x v="12"/>
    <n v="41.3"/>
    <x v="1537"/>
    <x v="73"/>
    <d v="2025-03-17T00:00:00"/>
    <x v="2"/>
    <x v="3"/>
    <x v="2"/>
    <x v="0"/>
    <x v="1"/>
    <x v="1"/>
    <x v="10"/>
    <x v="2"/>
  </r>
  <r>
    <x v="2005"/>
    <x v="8"/>
    <x v="1"/>
    <n v="15.3"/>
    <x v="1538"/>
    <x v="73"/>
    <d v="2025-03-18T00:00:00"/>
    <x v="0"/>
    <x v="2"/>
    <x v="2"/>
    <x v="0"/>
    <x v="1"/>
    <x v="2"/>
    <x v="10"/>
    <x v="0"/>
  </r>
  <r>
    <x v="2006"/>
    <x v="1"/>
    <x v="0"/>
    <n v="54.6"/>
    <x v="1539"/>
    <x v="73"/>
    <d v="2025-03-17T00:00:00"/>
    <x v="1"/>
    <x v="1"/>
    <x v="1"/>
    <x v="0"/>
    <x v="2"/>
    <x v="1"/>
    <x v="10"/>
    <x v="1"/>
  </r>
  <r>
    <x v="2007"/>
    <x v="8"/>
    <x v="0"/>
    <n v="15.9"/>
    <x v="1021"/>
    <x v="73"/>
    <d v="2025-03-16T00:00:00"/>
    <x v="1"/>
    <x v="0"/>
    <x v="1"/>
    <x v="0"/>
    <x v="22"/>
    <x v="3"/>
    <x v="10"/>
    <x v="1"/>
  </r>
  <r>
    <x v="2008"/>
    <x v="9"/>
    <x v="0"/>
    <n v="50.2"/>
    <x v="486"/>
    <x v="73"/>
    <d v="2025-03-17T00:00:00"/>
    <x v="2"/>
    <x v="3"/>
    <x v="2"/>
    <x v="0"/>
    <x v="34"/>
    <x v="1"/>
    <x v="10"/>
    <x v="2"/>
  </r>
  <r>
    <x v="2009"/>
    <x v="11"/>
    <x v="12"/>
    <n v="85.1"/>
    <x v="1540"/>
    <x v="73"/>
    <d v="2025-03-16T00:00:00"/>
    <x v="2"/>
    <x v="3"/>
    <x v="4"/>
    <x v="0"/>
    <x v="34"/>
    <x v="3"/>
    <x v="10"/>
    <x v="2"/>
  </r>
  <r>
    <x v="2010"/>
    <x v="11"/>
    <x v="1"/>
    <n v="41.4"/>
    <x v="1182"/>
    <x v="73"/>
    <d v="2025-03-16T00:00:00"/>
    <x v="2"/>
    <x v="0"/>
    <x v="2"/>
    <x v="0"/>
    <x v="3"/>
    <x v="3"/>
    <x v="10"/>
    <x v="2"/>
  </r>
  <r>
    <x v="2011"/>
    <x v="4"/>
    <x v="3"/>
    <n v="32.700000000000003"/>
    <x v="1541"/>
    <x v="73"/>
    <d v="2025-03-16T00:00:00"/>
    <x v="2"/>
    <x v="2"/>
    <x v="1"/>
    <x v="0"/>
    <x v="3"/>
    <x v="3"/>
    <x v="10"/>
    <x v="2"/>
  </r>
  <r>
    <x v="2012"/>
    <x v="4"/>
    <x v="1"/>
    <n v="41.6"/>
    <x v="707"/>
    <x v="73"/>
    <d v="2025-03-17T00:00:00"/>
    <x v="1"/>
    <x v="4"/>
    <x v="1"/>
    <x v="0"/>
    <x v="3"/>
    <x v="1"/>
    <x v="10"/>
    <x v="1"/>
  </r>
  <r>
    <x v="2013"/>
    <x v="5"/>
    <x v="12"/>
    <n v="64.8"/>
    <x v="629"/>
    <x v="73"/>
    <d v="2025-03-16T00:00:00"/>
    <x v="0"/>
    <x v="2"/>
    <x v="0"/>
    <x v="0"/>
    <x v="3"/>
    <x v="3"/>
    <x v="10"/>
    <x v="0"/>
  </r>
  <r>
    <x v="2014"/>
    <x v="15"/>
    <x v="1"/>
    <n v="33.6"/>
    <x v="863"/>
    <x v="73"/>
    <d v="2025-03-16T00:00:00"/>
    <x v="1"/>
    <x v="0"/>
    <x v="2"/>
    <x v="0"/>
    <x v="3"/>
    <x v="3"/>
    <x v="10"/>
    <x v="1"/>
  </r>
  <r>
    <x v="2015"/>
    <x v="6"/>
    <x v="2"/>
    <n v="100.7"/>
    <x v="1542"/>
    <x v="73"/>
    <d v="2025-03-16T00:00:00"/>
    <x v="0"/>
    <x v="1"/>
    <x v="0"/>
    <x v="0"/>
    <x v="3"/>
    <x v="3"/>
    <x v="10"/>
    <x v="0"/>
  </r>
  <r>
    <x v="2016"/>
    <x v="4"/>
    <x v="1"/>
    <n v="49.3"/>
    <x v="1543"/>
    <x v="74"/>
    <d v="2025-03-18T00:00:00"/>
    <x v="2"/>
    <x v="4"/>
    <x v="2"/>
    <x v="0"/>
    <x v="3"/>
    <x v="1"/>
    <x v="11"/>
    <x v="2"/>
  </r>
  <r>
    <x v="2017"/>
    <x v="2"/>
    <x v="13"/>
    <n v="97"/>
    <x v="1544"/>
    <x v="74"/>
    <d v="2025-03-19T00:00:00"/>
    <x v="1"/>
    <x v="2"/>
    <x v="2"/>
    <x v="0"/>
    <x v="3"/>
    <x v="2"/>
    <x v="11"/>
    <x v="1"/>
  </r>
  <r>
    <x v="2018"/>
    <x v="0"/>
    <x v="13"/>
    <n v="25.2"/>
    <x v="277"/>
    <x v="74"/>
    <d v="2025-03-19T00:00:00"/>
    <x v="2"/>
    <x v="4"/>
    <x v="2"/>
    <x v="0"/>
    <x v="3"/>
    <x v="2"/>
    <x v="11"/>
    <x v="2"/>
  </r>
  <r>
    <x v="2019"/>
    <x v="0"/>
    <x v="5"/>
    <n v="12.2"/>
    <x v="1545"/>
    <x v="74"/>
    <d v="2025-03-17T00:00:00"/>
    <x v="0"/>
    <x v="0"/>
    <x v="1"/>
    <x v="0"/>
    <x v="3"/>
    <x v="3"/>
    <x v="11"/>
    <x v="0"/>
  </r>
  <r>
    <x v="2020"/>
    <x v="8"/>
    <x v="3"/>
    <n v="38.799999999999997"/>
    <x v="1546"/>
    <x v="74"/>
    <d v="2025-03-18T00:00:00"/>
    <x v="2"/>
    <x v="1"/>
    <x v="1"/>
    <x v="0"/>
    <x v="23"/>
    <x v="1"/>
    <x v="11"/>
    <x v="2"/>
  </r>
  <r>
    <x v="2021"/>
    <x v="2"/>
    <x v="12"/>
    <n v="53.2"/>
    <x v="1547"/>
    <x v="74"/>
    <d v="2025-03-17T00:00:00"/>
    <x v="1"/>
    <x v="0"/>
    <x v="2"/>
    <x v="0"/>
    <x v="8"/>
    <x v="3"/>
    <x v="11"/>
    <x v="1"/>
  </r>
  <r>
    <x v="2022"/>
    <x v="6"/>
    <x v="3"/>
    <n v="151"/>
    <x v="1548"/>
    <x v="74"/>
    <d v="2025-03-17T00:00:00"/>
    <x v="3"/>
    <x v="1"/>
    <x v="1"/>
    <x v="0"/>
    <x v="8"/>
    <x v="3"/>
    <x v="11"/>
    <x v="3"/>
  </r>
  <r>
    <x v="2023"/>
    <x v="1"/>
    <x v="1"/>
    <n v="37.1"/>
    <x v="1314"/>
    <x v="74"/>
    <d v="2025-03-17T00:00:00"/>
    <x v="2"/>
    <x v="4"/>
    <x v="0"/>
    <x v="0"/>
    <x v="8"/>
    <x v="3"/>
    <x v="11"/>
    <x v="2"/>
  </r>
  <r>
    <x v="2024"/>
    <x v="5"/>
    <x v="1"/>
    <n v="38.9"/>
    <x v="482"/>
    <x v="74"/>
    <d v="2025-03-17T00:00:00"/>
    <x v="1"/>
    <x v="4"/>
    <x v="0"/>
    <x v="0"/>
    <x v="8"/>
    <x v="3"/>
    <x v="11"/>
    <x v="1"/>
  </r>
  <r>
    <x v="2025"/>
    <x v="10"/>
    <x v="1"/>
    <n v="35.200000000000003"/>
    <x v="1549"/>
    <x v="74"/>
    <d v="2025-03-17T00:00:00"/>
    <x v="1"/>
    <x v="0"/>
    <x v="2"/>
    <x v="0"/>
    <x v="17"/>
    <x v="3"/>
    <x v="11"/>
    <x v="1"/>
  </r>
  <r>
    <x v="2026"/>
    <x v="0"/>
    <x v="1"/>
    <n v="22.3"/>
    <x v="225"/>
    <x v="74"/>
    <d v="2025-03-18T00:00:00"/>
    <x v="2"/>
    <x v="1"/>
    <x v="0"/>
    <x v="0"/>
    <x v="9"/>
    <x v="1"/>
    <x v="11"/>
    <x v="2"/>
  </r>
  <r>
    <x v="2027"/>
    <x v="9"/>
    <x v="0"/>
    <n v="43.3"/>
    <x v="1286"/>
    <x v="74"/>
    <d v="2025-03-19T00:00:00"/>
    <x v="2"/>
    <x v="0"/>
    <x v="2"/>
    <x v="0"/>
    <x v="11"/>
    <x v="2"/>
    <x v="11"/>
    <x v="2"/>
  </r>
  <r>
    <x v="2028"/>
    <x v="6"/>
    <x v="13"/>
    <n v="75.900000000000006"/>
    <x v="1550"/>
    <x v="74"/>
    <d v="2025-03-22T00:00:00"/>
    <x v="1"/>
    <x v="0"/>
    <x v="0"/>
    <x v="0"/>
    <x v="11"/>
    <x v="4"/>
    <x v="11"/>
    <x v="1"/>
  </r>
  <r>
    <x v="2029"/>
    <x v="6"/>
    <x v="2"/>
    <n v="78.7"/>
    <x v="1551"/>
    <x v="74"/>
    <d v="2025-03-20T00:00:00"/>
    <x v="2"/>
    <x v="2"/>
    <x v="1"/>
    <x v="0"/>
    <x v="11"/>
    <x v="5"/>
    <x v="11"/>
    <x v="2"/>
  </r>
  <r>
    <x v="2030"/>
    <x v="1"/>
    <x v="0"/>
    <n v="66.3"/>
    <x v="1124"/>
    <x v="74"/>
    <d v="2025-03-20T00:00:00"/>
    <x v="2"/>
    <x v="0"/>
    <x v="2"/>
    <x v="0"/>
    <x v="19"/>
    <x v="5"/>
    <x v="11"/>
    <x v="2"/>
  </r>
  <r>
    <x v="2031"/>
    <x v="8"/>
    <x v="1"/>
    <n v="33.6"/>
    <x v="863"/>
    <x v="74"/>
    <d v="2025-03-16T00:00:00"/>
    <x v="1"/>
    <x v="0"/>
    <x v="1"/>
    <x v="0"/>
    <x v="19"/>
    <x v="7"/>
    <x v="11"/>
    <x v="1"/>
  </r>
  <r>
    <x v="2032"/>
    <x v="2"/>
    <x v="3"/>
    <n v="61.4"/>
    <x v="1552"/>
    <x v="74"/>
    <d v="2025-03-17T00:00:00"/>
    <x v="1"/>
    <x v="4"/>
    <x v="0"/>
    <x v="0"/>
    <x v="19"/>
    <x v="3"/>
    <x v="11"/>
    <x v="1"/>
  </r>
  <r>
    <x v="2033"/>
    <x v="8"/>
    <x v="1"/>
    <n v="17.5"/>
    <x v="1553"/>
    <x v="74"/>
    <d v="2025-03-19T00:00:00"/>
    <x v="2"/>
    <x v="0"/>
    <x v="0"/>
    <x v="0"/>
    <x v="21"/>
    <x v="2"/>
    <x v="11"/>
    <x v="2"/>
  </r>
  <r>
    <x v="2034"/>
    <x v="8"/>
    <x v="1"/>
    <n v="32.5"/>
    <x v="891"/>
    <x v="74"/>
    <d v="2025-03-19T00:00:00"/>
    <x v="2"/>
    <x v="1"/>
    <x v="0"/>
    <x v="0"/>
    <x v="21"/>
    <x v="2"/>
    <x v="11"/>
    <x v="2"/>
  </r>
  <r>
    <x v="2035"/>
    <x v="4"/>
    <x v="0"/>
    <n v="34.6"/>
    <x v="169"/>
    <x v="74"/>
    <d v="2025-03-17T00:00:00"/>
    <x v="2"/>
    <x v="4"/>
    <x v="0"/>
    <x v="0"/>
    <x v="21"/>
    <x v="3"/>
    <x v="11"/>
    <x v="2"/>
  </r>
  <r>
    <x v="2036"/>
    <x v="2"/>
    <x v="0"/>
    <n v="75.900000000000006"/>
    <x v="1554"/>
    <x v="74"/>
    <d v="2025-03-16T00:00:00"/>
    <x v="1"/>
    <x v="1"/>
    <x v="2"/>
    <x v="0"/>
    <x v="21"/>
    <x v="7"/>
    <x v="11"/>
    <x v="1"/>
  </r>
  <r>
    <x v="2037"/>
    <x v="1"/>
    <x v="2"/>
    <n v="42.1"/>
    <x v="1555"/>
    <x v="74"/>
    <d v="2025-03-19T00:00:00"/>
    <x v="1"/>
    <x v="1"/>
    <x v="1"/>
    <x v="0"/>
    <x v="21"/>
    <x v="2"/>
    <x v="11"/>
    <x v="1"/>
  </r>
  <r>
    <x v="2038"/>
    <x v="7"/>
    <x v="2"/>
    <n v="65.3"/>
    <x v="243"/>
    <x v="74"/>
    <d v="2025-03-23T00:00:00"/>
    <x v="1"/>
    <x v="0"/>
    <x v="0"/>
    <x v="0"/>
    <x v="1"/>
    <x v="6"/>
    <x v="11"/>
    <x v="1"/>
  </r>
  <r>
    <x v="2039"/>
    <x v="15"/>
    <x v="0"/>
    <n v="20.6"/>
    <x v="1500"/>
    <x v="74"/>
    <d v="2025-03-19T00:00:00"/>
    <x v="1"/>
    <x v="3"/>
    <x v="0"/>
    <x v="0"/>
    <x v="42"/>
    <x v="2"/>
    <x v="11"/>
    <x v="1"/>
  </r>
  <r>
    <x v="2040"/>
    <x v="8"/>
    <x v="3"/>
    <n v="16.5"/>
    <x v="100"/>
    <x v="74"/>
    <d v="2025-03-17T00:00:00"/>
    <x v="1"/>
    <x v="1"/>
    <x v="1"/>
    <x v="0"/>
    <x v="2"/>
    <x v="3"/>
    <x v="11"/>
    <x v="1"/>
  </r>
  <r>
    <x v="2041"/>
    <x v="16"/>
    <x v="7"/>
    <n v="36.200000000000003"/>
    <x v="1556"/>
    <x v="74"/>
    <d v="2025-03-18T00:00:00"/>
    <x v="1"/>
    <x v="0"/>
    <x v="2"/>
    <x v="0"/>
    <x v="2"/>
    <x v="1"/>
    <x v="11"/>
    <x v="1"/>
  </r>
  <r>
    <x v="2042"/>
    <x v="6"/>
    <x v="0"/>
    <n v="53.2"/>
    <x v="1557"/>
    <x v="74"/>
    <d v="2025-03-17T00:00:00"/>
    <x v="2"/>
    <x v="0"/>
    <x v="1"/>
    <x v="0"/>
    <x v="22"/>
    <x v="3"/>
    <x v="11"/>
    <x v="2"/>
  </r>
  <r>
    <x v="2043"/>
    <x v="2"/>
    <x v="21"/>
    <n v="176"/>
    <x v="1558"/>
    <x v="74"/>
    <d v="2025-03-17T00:00:00"/>
    <x v="2"/>
    <x v="0"/>
    <x v="1"/>
    <x v="0"/>
    <x v="3"/>
    <x v="3"/>
    <x v="11"/>
    <x v="2"/>
  </r>
  <r>
    <x v="2044"/>
    <x v="1"/>
    <x v="0"/>
    <n v="52.4"/>
    <x v="1559"/>
    <x v="74"/>
    <d v="2025-03-17T00:00:00"/>
    <x v="1"/>
    <x v="1"/>
    <x v="0"/>
    <x v="0"/>
    <x v="3"/>
    <x v="3"/>
    <x v="11"/>
    <x v="1"/>
  </r>
  <r>
    <x v="2045"/>
    <x v="10"/>
    <x v="2"/>
    <n v="48.2"/>
    <x v="1435"/>
    <x v="74"/>
    <d v="2025-03-17T00:00:00"/>
    <x v="2"/>
    <x v="1"/>
    <x v="2"/>
    <x v="0"/>
    <x v="3"/>
    <x v="3"/>
    <x v="11"/>
    <x v="2"/>
  </r>
  <r>
    <x v="2046"/>
    <x v="15"/>
    <x v="0"/>
    <n v="51.6"/>
    <x v="937"/>
    <x v="74"/>
    <d v="2025-03-20T00:00:00"/>
    <x v="2"/>
    <x v="2"/>
    <x v="1"/>
    <x v="0"/>
    <x v="3"/>
    <x v="5"/>
    <x v="11"/>
    <x v="2"/>
  </r>
  <r>
    <x v="2047"/>
    <x v="0"/>
    <x v="12"/>
    <n v="33.700000000000003"/>
    <x v="1093"/>
    <x v="75"/>
    <d v="2025-03-18T00:00:00"/>
    <x v="1"/>
    <x v="0"/>
    <x v="0"/>
    <x v="0"/>
    <x v="3"/>
    <x v="3"/>
    <x v="11"/>
    <x v="1"/>
  </r>
  <r>
    <x v="2048"/>
    <x v="4"/>
    <x v="7"/>
    <n v="36.299999999999997"/>
    <x v="1560"/>
    <x v="75"/>
    <d v="2025-03-19T00:00:00"/>
    <x v="2"/>
    <x v="4"/>
    <x v="1"/>
    <x v="0"/>
    <x v="3"/>
    <x v="1"/>
    <x v="11"/>
    <x v="2"/>
  </r>
  <r>
    <x v="2049"/>
    <x v="8"/>
    <x v="0"/>
    <n v="23.4"/>
    <x v="1561"/>
    <x v="75"/>
    <d v="2025-03-22T00:00:00"/>
    <x v="2"/>
    <x v="1"/>
    <x v="2"/>
    <x v="0"/>
    <x v="3"/>
    <x v="0"/>
    <x v="11"/>
    <x v="2"/>
  </r>
  <r>
    <x v="2050"/>
    <x v="15"/>
    <x v="8"/>
    <n v="56.6"/>
    <x v="1562"/>
    <x v="75"/>
    <d v="2025-03-19T00:00:00"/>
    <x v="2"/>
    <x v="1"/>
    <x v="0"/>
    <x v="0"/>
    <x v="3"/>
    <x v="1"/>
    <x v="11"/>
    <x v="2"/>
  </r>
  <r>
    <x v="2051"/>
    <x v="15"/>
    <x v="1"/>
    <n v="26.8"/>
    <x v="1563"/>
    <x v="75"/>
    <d v="2025-03-18T00:00:00"/>
    <x v="1"/>
    <x v="0"/>
    <x v="0"/>
    <x v="0"/>
    <x v="4"/>
    <x v="3"/>
    <x v="11"/>
    <x v="1"/>
  </r>
  <r>
    <x v="2052"/>
    <x v="0"/>
    <x v="2"/>
    <n v="11.3"/>
    <x v="1564"/>
    <x v="75"/>
    <d v="2025-03-19T00:00:00"/>
    <x v="1"/>
    <x v="2"/>
    <x v="0"/>
    <x v="0"/>
    <x v="25"/>
    <x v="1"/>
    <x v="11"/>
    <x v="1"/>
  </r>
  <r>
    <x v="2053"/>
    <x v="6"/>
    <x v="2"/>
    <n v="60.1"/>
    <x v="1565"/>
    <x v="75"/>
    <d v="2025-03-20T00:00:00"/>
    <x v="2"/>
    <x v="0"/>
    <x v="0"/>
    <x v="0"/>
    <x v="7"/>
    <x v="2"/>
    <x v="11"/>
    <x v="2"/>
  </r>
  <r>
    <x v="2054"/>
    <x v="0"/>
    <x v="5"/>
    <n v="27.7"/>
    <x v="1566"/>
    <x v="75"/>
    <d v="2025-03-22T00:00:00"/>
    <x v="2"/>
    <x v="0"/>
    <x v="0"/>
    <x v="0"/>
    <x v="8"/>
    <x v="0"/>
    <x v="11"/>
    <x v="2"/>
  </r>
  <r>
    <x v="2055"/>
    <x v="15"/>
    <x v="0"/>
    <n v="71.400000000000006"/>
    <x v="660"/>
    <x v="75"/>
    <d v="2025-03-20T00:00:00"/>
    <x v="1"/>
    <x v="0"/>
    <x v="2"/>
    <x v="0"/>
    <x v="8"/>
    <x v="2"/>
    <x v="11"/>
    <x v="1"/>
  </r>
  <r>
    <x v="2056"/>
    <x v="2"/>
    <x v="1"/>
    <n v="66.7"/>
    <x v="1567"/>
    <x v="75"/>
    <d v="2025-03-18T00:00:00"/>
    <x v="2"/>
    <x v="0"/>
    <x v="2"/>
    <x v="0"/>
    <x v="8"/>
    <x v="3"/>
    <x v="11"/>
    <x v="2"/>
  </r>
  <r>
    <x v="2057"/>
    <x v="13"/>
    <x v="9"/>
    <n v="39.1"/>
    <x v="1568"/>
    <x v="75"/>
    <d v="2025-03-18T00:00:00"/>
    <x v="2"/>
    <x v="0"/>
    <x v="0"/>
    <x v="0"/>
    <x v="8"/>
    <x v="3"/>
    <x v="11"/>
    <x v="2"/>
  </r>
  <r>
    <x v="2058"/>
    <x v="8"/>
    <x v="12"/>
    <n v="24.9"/>
    <x v="1569"/>
    <x v="75"/>
    <d v="2025-03-22T00:00:00"/>
    <x v="1"/>
    <x v="1"/>
    <x v="2"/>
    <x v="0"/>
    <x v="8"/>
    <x v="0"/>
    <x v="11"/>
    <x v="1"/>
  </r>
  <r>
    <x v="2059"/>
    <x v="5"/>
    <x v="9"/>
    <n v="29.2"/>
    <x v="1570"/>
    <x v="75"/>
    <d v="2025-03-18T00:00:00"/>
    <x v="1"/>
    <x v="0"/>
    <x v="2"/>
    <x v="0"/>
    <x v="17"/>
    <x v="3"/>
    <x v="11"/>
    <x v="1"/>
  </r>
  <r>
    <x v="2060"/>
    <x v="13"/>
    <x v="21"/>
    <n v="28.3"/>
    <x v="1571"/>
    <x v="75"/>
    <d v="2025-03-19T00:00:00"/>
    <x v="2"/>
    <x v="1"/>
    <x v="0"/>
    <x v="0"/>
    <x v="11"/>
    <x v="1"/>
    <x v="11"/>
    <x v="2"/>
  </r>
  <r>
    <x v="2061"/>
    <x v="9"/>
    <x v="2"/>
    <n v="37.799999999999997"/>
    <x v="1413"/>
    <x v="75"/>
    <d v="2025-03-18T00:00:00"/>
    <x v="2"/>
    <x v="0"/>
    <x v="1"/>
    <x v="0"/>
    <x v="11"/>
    <x v="3"/>
    <x v="11"/>
    <x v="2"/>
  </r>
  <r>
    <x v="2062"/>
    <x v="14"/>
    <x v="3"/>
    <n v="28.1"/>
    <x v="1572"/>
    <x v="75"/>
    <d v="2025-03-23T00:00:00"/>
    <x v="2"/>
    <x v="2"/>
    <x v="0"/>
    <x v="0"/>
    <x v="11"/>
    <x v="4"/>
    <x v="11"/>
    <x v="2"/>
  </r>
  <r>
    <x v="2063"/>
    <x v="1"/>
    <x v="2"/>
    <n v="59.7"/>
    <x v="1573"/>
    <x v="75"/>
    <d v="2025-03-19T00:00:00"/>
    <x v="2"/>
    <x v="2"/>
    <x v="0"/>
    <x v="0"/>
    <x v="11"/>
    <x v="1"/>
    <x v="11"/>
    <x v="2"/>
  </r>
  <r>
    <x v="2064"/>
    <x v="16"/>
    <x v="0"/>
    <n v="71.900000000000006"/>
    <x v="1574"/>
    <x v="75"/>
    <d v="2025-03-18T00:00:00"/>
    <x v="1"/>
    <x v="1"/>
    <x v="1"/>
    <x v="0"/>
    <x v="11"/>
    <x v="3"/>
    <x v="11"/>
    <x v="1"/>
  </r>
  <r>
    <x v="2065"/>
    <x v="1"/>
    <x v="1"/>
    <n v="56.9"/>
    <x v="1575"/>
    <x v="75"/>
    <d v="2025-03-18T00:00:00"/>
    <x v="1"/>
    <x v="2"/>
    <x v="0"/>
    <x v="0"/>
    <x v="13"/>
    <x v="3"/>
    <x v="11"/>
    <x v="1"/>
  </r>
  <r>
    <x v="2066"/>
    <x v="8"/>
    <x v="1"/>
    <n v="15.8"/>
    <x v="35"/>
    <x v="75"/>
    <d v="2025-03-20T00:00:00"/>
    <x v="2"/>
    <x v="2"/>
    <x v="1"/>
    <x v="0"/>
    <x v="1"/>
    <x v="2"/>
    <x v="11"/>
    <x v="2"/>
  </r>
  <r>
    <x v="2067"/>
    <x v="11"/>
    <x v="12"/>
    <n v="61.7"/>
    <x v="1576"/>
    <x v="75"/>
    <d v="2025-03-19T00:00:00"/>
    <x v="2"/>
    <x v="2"/>
    <x v="0"/>
    <x v="0"/>
    <x v="22"/>
    <x v="1"/>
    <x v="11"/>
    <x v="2"/>
  </r>
  <r>
    <x v="2068"/>
    <x v="2"/>
    <x v="7"/>
    <n v="105.2"/>
    <x v="1577"/>
    <x v="75"/>
    <d v="2025-03-19T00:00:00"/>
    <x v="1"/>
    <x v="1"/>
    <x v="4"/>
    <x v="0"/>
    <x v="3"/>
    <x v="1"/>
    <x v="11"/>
    <x v="1"/>
  </r>
  <r>
    <x v="2069"/>
    <x v="0"/>
    <x v="1"/>
    <n v="17"/>
    <x v="1222"/>
    <x v="75"/>
    <d v="2025-03-19T00:00:00"/>
    <x v="2"/>
    <x v="2"/>
    <x v="0"/>
    <x v="0"/>
    <x v="3"/>
    <x v="1"/>
    <x v="11"/>
    <x v="2"/>
  </r>
  <r>
    <x v="2070"/>
    <x v="6"/>
    <x v="2"/>
    <n v="84.1"/>
    <x v="1578"/>
    <x v="75"/>
    <d v="2025-03-18T00:00:00"/>
    <x v="1"/>
    <x v="2"/>
    <x v="0"/>
    <x v="0"/>
    <x v="3"/>
    <x v="3"/>
    <x v="11"/>
    <x v="1"/>
  </r>
  <r>
    <x v="2071"/>
    <x v="3"/>
    <x v="12"/>
    <n v="59.5"/>
    <x v="1248"/>
    <x v="75"/>
    <d v="2025-03-22T00:00:00"/>
    <x v="1"/>
    <x v="0"/>
    <x v="2"/>
    <x v="0"/>
    <x v="3"/>
    <x v="0"/>
    <x v="11"/>
    <x v="1"/>
  </r>
  <r>
    <x v="2072"/>
    <x v="8"/>
    <x v="1"/>
    <n v="57.5"/>
    <x v="1579"/>
    <x v="75"/>
    <d v="2025-03-19T00:00:00"/>
    <x v="1"/>
    <x v="1"/>
    <x v="2"/>
    <x v="0"/>
    <x v="3"/>
    <x v="1"/>
    <x v="11"/>
    <x v="1"/>
  </r>
  <r>
    <x v="2073"/>
    <x v="8"/>
    <x v="0"/>
    <n v="34.299999999999997"/>
    <x v="1580"/>
    <x v="75"/>
    <d v="2025-03-18T00:00:00"/>
    <x v="2"/>
    <x v="4"/>
    <x v="2"/>
    <x v="0"/>
    <x v="3"/>
    <x v="3"/>
    <x v="11"/>
    <x v="2"/>
  </r>
  <r>
    <x v="2074"/>
    <x v="5"/>
    <x v="1"/>
    <n v="27.8"/>
    <x v="1581"/>
    <x v="76"/>
    <d v="2025-03-20T00:00:00"/>
    <x v="2"/>
    <x v="0"/>
    <x v="0"/>
    <x v="0"/>
    <x v="3"/>
    <x v="1"/>
    <x v="11"/>
    <x v="2"/>
  </r>
  <r>
    <x v="2075"/>
    <x v="12"/>
    <x v="1"/>
    <n v="85"/>
    <x v="393"/>
    <x v="76"/>
    <d v="2025-03-18T00:00:00"/>
    <x v="1"/>
    <x v="2"/>
    <x v="2"/>
    <x v="0"/>
    <x v="3"/>
    <x v="7"/>
    <x v="11"/>
    <x v="1"/>
  </r>
  <r>
    <x v="2076"/>
    <x v="6"/>
    <x v="1"/>
    <n v="95"/>
    <x v="1582"/>
    <x v="76"/>
    <d v="2025-03-20T00:00:00"/>
    <x v="2"/>
    <x v="0"/>
    <x v="0"/>
    <x v="0"/>
    <x v="3"/>
    <x v="1"/>
    <x v="11"/>
    <x v="2"/>
  </r>
  <r>
    <x v="2077"/>
    <x v="16"/>
    <x v="1"/>
    <n v="32"/>
    <x v="34"/>
    <x v="76"/>
    <d v="2025-03-20T00:00:00"/>
    <x v="1"/>
    <x v="0"/>
    <x v="1"/>
    <x v="0"/>
    <x v="3"/>
    <x v="1"/>
    <x v="11"/>
    <x v="1"/>
  </r>
  <r>
    <x v="2078"/>
    <x v="2"/>
    <x v="1"/>
    <n v="65.2"/>
    <x v="1583"/>
    <x v="76"/>
    <d v="2025-03-19T00:00:00"/>
    <x v="2"/>
    <x v="1"/>
    <x v="0"/>
    <x v="0"/>
    <x v="3"/>
    <x v="3"/>
    <x v="11"/>
    <x v="2"/>
  </r>
  <r>
    <x v="2079"/>
    <x v="17"/>
    <x v="12"/>
    <n v="22"/>
    <x v="1155"/>
    <x v="76"/>
    <d v="2025-03-19T00:00:00"/>
    <x v="1"/>
    <x v="1"/>
    <x v="2"/>
    <x v="0"/>
    <x v="3"/>
    <x v="3"/>
    <x v="11"/>
    <x v="1"/>
  </r>
  <r>
    <x v="2080"/>
    <x v="15"/>
    <x v="2"/>
    <n v="69.400000000000006"/>
    <x v="140"/>
    <x v="76"/>
    <d v="2025-03-21T00:00:00"/>
    <x v="1"/>
    <x v="1"/>
    <x v="2"/>
    <x v="0"/>
    <x v="3"/>
    <x v="2"/>
    <x v="11"/>
    <x v="1"/>
  </r>
  <r>
    <x v="2081"/>
    <x v="10"/>
    <x v="13"/>
    <n v="31.5"/>
    <x v="620"/>
    <x v="76"/>
    <d v="2025-03-20T00:00:00"/>
    <x v="2"/>
    <x v="0"/>
    <x v="2"/>
    <x v="0"/>
    <x v="3"/>
    <x v="1"/>
    <x v="11"/>
    <x v="2"/>
  </r>
  <r>
    <x v="2082"/>
    <x v="6"/>
    <x v="0"/>
    <n v="45.8"/>
    <x v="494"/>
    <x v="76"/>
    <d v="2025-03-22T00:00:00"/>
    <x v="3"/>
    <x v="0"/>
    <x v="0"/>
    <x v="0"/>
    <x v="3"/>
    <x v="5"/>
    <x v="11"/>
    <x v="3"/>
  </r>
  <r>
    <x v="2083"/>
    <x v="19"/>
    <x v="12"/>
    <n v="12.8"/>
    <x v="180"/>
    <x v="76"/>
    <d v="2025-03-25T00:00:00"/>
    <x v="2"/>
    <x v="1"/>
    <x v="1"/>
    <x v="0"/>
    <x v="5"/>
    <x v="6"/>
    <x v="11"/>
    <x v="2"/>
  </r>
  <r>
    <x v="2084"/>
    <x v="5"/>
    <x v="2"/>
    <n v="115.3"/>
    <x v="1584"/>
    <x v="76"/>
    <d v="2025-03-19T00:00:00"/>
    <x v="2"/>
    <x v="2"/>
    <x v="2"/>
    <x v="0"/>
    <x v="6"/>
    <x v="3"/>
    <x v="11"/>
    <x v="2"/>
  </r>
  <r>
    <x v="2085"/>
    <x v="5"/>
    <x v="1"/>
    <n v="85"/>
    <x v="393"/>
    <x v="76"/>
    <d v="2025-03-20T00:00:00"/>
    <x v="2"/>
    <x v="1"/>
    <x v="0"/>
    <x v="0"/>
    <x v="7"/>
    <x v="1"/>
    <x v="11"/>
    <x v="2"/>
  </r>
  <r>
    <x v="2086"/>
    <x v="8"/>
    <x v="2"/>
    <n v="56.6"/>
    <x v="1026"/>
    <x v="76"/>
    <d v="2025-03-19T00:00:00"/>
    <x v="2"/>
    <x v="1"/>
    <x v="2"/>
    <x v="0"/>
    <x v="7"/>
    <x v="3"/>
    <x v="11"/>
    <x v="2"/>
  </r>
  <r>
    <x v="2087"/>
    <x v="15"/>
    <x v="6"/>
    <n v="46.3"/>
    <x v="1585"/>
    <x v="76"/>
    <d v="2025-03-21T00:00:00"/>
    <x v="1"/>
    <x v="0"/>
    <x v="0"/>
    <x v="0"/>
    <x v="7"/>
    <x v="2"/>
    <x v="11"/>
    <x v="1"/>
  </r>
  <r>
    <x v="2088"/>
    <x v="14"/>
    <x v="12"/>
    <n v="23"/>
    <x v="988"/>
    <x v="76"/>
    <d v="2025-03-22T00:00:00"/>
    <x v="1"/>
    <x v="3"/>
    <x v="2"/>
    <x v="0"/>
    <x v="7"/>
    <x v="5"/>
    <x v="11"/>
    <x v="1"/>
  </r>
  <r>
    <x v="2089"/>
    <x v="8"/>
    <x v="13"/>
    <n v="42.1"/>
    <x v="1586"/>
    <x v="76"/>
    <d v="2025-03-20T00:00:00"/>
    <x v="1"/>
    <x v="4"/>
    <x v="0"/>
    <x v="0"/>
    <x v="8"/>
    <x v="1"/>
    <x v="11"/>
    <x v="1"/>
  </r>
  <r>
    <x v="2090"/>
    <x v="5"/>
    <x v="3"/>
    <n v="57.4"/>
    <x v="1587"/>
    <x v="76"/>
    <d v="2025-03-22T00:00:00"/>
    <x v="2"/>
    <x v="1"/>
    <x v="4"/>
    <x v="0"/>
    <x v="8"/>
    <x v="5"/>
    <x v="11"/>
    <x v="2"/>
  </r>
  <r>
    <x v="2091"/>
    <x v="0"/>
    <x v="13"/>
    <n v="13.2"/>
    <x v="1113"/>
    <x v="76"/>
    <d v="2025-03-22T00:00:00"/>
    <x v="1"/>
    <x v="2"/>
    <x v="0"/>
    <x v="0"/>
    <x v="8"/>
    <x v="5"/>
    <x v="11"/>
    <x v="1"/>
  </r>
  <r>
    <x v="2092"/>
    <x v="6"/>
    <x v="2"/>
    <n v="52.3"/>
    <x v="1588"/>
    <x v="76"/>
    <d v="2025-03-19T00:00:00"/>
    <x v="1"/>
    <x v="1"/>
    <x v="0"/>
    <x v="0"/>
    <x v="8"/>
    <x v="3"/>
    <x v="11"/>
    <x v="1"/>
  </r>
  <r>
    <x v="2093"/>
    <x v="8"/>
    <x v="1"/>
    <n v="15.7"/>
    <x v="1323"/>
    <x v="76"/>
    <d v="2025-03-21T00:00:00"/>
    <x v="1"/>
    <x v="1"/>
    <x v="2"/>
    <x v="0"/>
    <x v="8"/>
    <x v="2"/>
    <x v="11"/>
    <x v="1"/>
  </r>
  <r>
    <x v="2094"/>
    <x v="7"/>
    <x v="2"/>
    <n v="35"/>
    <x v="211"/>
    <x v="76"/>
    <d v="2025-03-21T00:00:00"/>
    <x v="2"/>
    <x v="1"/>
    <x v="2"/>
    <x v="0"/>
    <x v="9"/>
    <x v="2"/>
    <x v="11"/>
    <x v="2"/>
  </r>
  <r>
    <x v="2095"/>
    <x v="4"/>
    <x v="2"/>
    <n v="26.6"/>
    <x v="1589"/>
    <x v="76"/>
    <d v="2025-03-18T00:00:00"/>
    <x v="1"/>
    <x v="1"/>
    <x v="2"/>
    <x v="0"/>
    <x v="11"/>
    <x v="7"/>
    <x v="11"/>
    <x v="1"/>
  </r>
  <r>
    <x v="2096"/>
    <x v="4"/>
    <x v="8"/>
    <n v="47.9"/>
    <x v="1590"/>
    <x v="77"/>
    <d v="2025-03-20T00:00:00"/>
    <x v="2"/>
    <x v="3"/>
    <x v="2"/>
    <x v="0"/>
    <x v="20"/>
    <x v="3"/>
    <x v="11"/>
    <x v="2"/>
  </r>
  <r>
    <x v="2097"/>
    <x v="5"/>
    <x v="0"/>
    <n v="80.099999999999994"/>
    <x v="1133"/>
    <x v="77"/>
    <d v="2025-03-20T00:00:00"/>
    <x v="1"/>
    <x v="2"/>
    <x v="0"/>
    <x v="0"/>
    <x v="21"/>
    <x v="3"/>
    <x v="11"/>
    <x v="1"/>
  </r>
  <r>
    <x v="2098"/>
    <x v="6"/>
    <x v="9"/>
    <n v="50.4"/>
    <x v="816"/>
    <x v="77"/>
    <d v="2025-03-20T00:00:00"/>
    <x v="1"/>
    <x v="1"/>
    <x v="2"/>
    <x v="0"/>
    <x v="21"/>
    <x v="3"/>
    <x v="11"/>
    <x v="1"/>
  </r>
  <r>
    <x v="2099"/>
    <x v="10"/>
    <x v="3"/>
    <n v="43.3"/>
    <x v="1591"/>
    <x v="77"/>
    <d v="2025-03-20T00:00:00"/>
    <x v="1"/>
    <x v="2"/>
    <x v="0"/>
    <x v="0"/>
    <x v="21"/>
    <x v="3"/>
    <x v="11"/>
    <x v="1"/>
  </r>
  <r>
    <x v="2100"/>
    <x v="10"/>
    <x v="12"/>
    <n v="57.5"/>
    <x v="984"/>
    <x v="77"/>
    <d v="2025-03-20T00:00:00"/>
    <x v="2"/>
    <x v="1"/>
    <x v="2"/>
    <x v="0"/>
    <x v="1"/>
    <x v="3"/>
    <x v="11"/>
    <x v="2"/>
  </r>
  <r>
    <x v="2101"/>
    <x v="9"/>
    <x v="15"/>
    <n v="24.8"/>
    <x v="1592"/>
    <x v="77"/>
    <d v="2025-03-20T00:00:00"/>
    <x v="1"/>
    <x v="0"/>
    <x v="0"/>
    <x v="0"/>
    <x v="57"/>
    <x v="3"/>
    <x v="11"/>
    <x v="1"/>
  </r>
  <r>
    <x v="2102"/>
    <x v="2"/>
    <x v="11"/>
    <n v="85.7"/>
    <x v="1593"/>
    <x v="77"/>
    <d v="2025-03-20T00:00:00"/>
    <x v="2"/>
    <x v="0"/>
    <x v="0"/>
    <x v="0"/>
    <x v="42"/>
    <x v="3"/>
    <x v="11"/>
    <x v="2"/>
  </r>
  <r>
    <x v="2103"/>
    <x v="7"/>
    <x v="0"/>
    <n v="47.1"/>
    <x v="392"/>
    <x v="77"/>
    <d v="2025-03-21T00:00:00"/>
    <x v="2"/>
    <x v="0"/>
    <x v="0"/>
    <x v="0"/>
    <x v="2"/>
    <x v="1"/>
    <x v="11"/>
    <x v="2"/>
  </r>
  <r>
    <x v="2104"/>
    <x v="5"/>
    <x v="7"/>
    <n v="83.2"/>
    <x v="1594"/>
    <x v="77"/>
    <d v="2025-03-23T00:00:00"/>
    <x v="2"/>
    <x v="0"/>
    <x v="0"/>
    <x v="0"/>
    <x v="33"/>
    <x v="5"/>
    <x v="11"/>
    <x v="2"/>
  </r>
  <r>
    <x v="2105"/>
    <x v="2"/>
    <x v="2"/>
    <n v="157"/>
    <x v="1595"/>
    <x v="77"/>
    <d v="2025-03-21T00:00:00"/>
    <x v="2"/>
    <x v="0"/>
    <x v="2"/>
    <x v="0"/>
    <x v="22"/>
    <x v="1"/>
    <x v="11"/>
    <x v="2"/>
  </r>
  <r>
    <x v="2106"/>
    <x v="16"/>
    <x v="12"/>
    <n v="33.700000000000003"/>
    <x v="1093"/>
    <x v="77"/>
    <d v="2025-03-20T00:00:00"/>
    <x v="1"/>
    <x v="2"/>
    <x v="2"/>
    <x v="0"/>
    <x v="22"/>
    <x v="3"/>
    <x v="11"/>
    <x v="1"/>
  </r>
  <r>
    <x v="2107"/>
    <x v="2"/>
    <x v="2"/>
    <n v="60.8"/>
    <x v="1596"/>
    <x v="77"/>
    <d v="2025-03-23T00:00:00"/>
    <x v="2"/>
    <x v="1"/>
    <x v="1"/>
    <x v="0"/>
    <x v="3"/>
    <x v="5"/>
    <x v="11"/>
    <x v="2"/>
  </r>
  <r>
    <x v="2108"/>
    <x v="7"/>
    <x v="0"/>
    <n v="57.6"/>
    <x v="636"/>
    <x v="77"/>
    <d v="2025-03-20T00:00:00"/>
    <x v="1"/>
    <x v="1"/>
    <x v="4"/>
    <x v="0"/>
    <x v="3"/>
    <x v="3"/>
    <x v="11"/>
    <x v="1"/>
  </r>
  <r>
    <x v="2109"/>
    <x v="10"/>
    <x v="0"/>
    <n v="32"/>
    <x v="109"/>
    <x v="77"/>
    <d v="2025-03-21T00:00:00"/>
    <x v="1"/>
    <x v="0"/>
    <x v="0"/>
    <x v="0"/>
    <x v="3"/>
    <x v="1"/>
    <x v="11"/>
    <x v="1"/>
  </r>
  <r>
    <x v="2110"/>
    <x v="10"/>
    <x v="12"/>
    <n v="23.5"/>
    <x v="255"/>
    <x v="77"/>
    <d v="2025-03-20T00:00:00"/>
    <x v="2"/>
    <x v="0"/>
    <x v="2"/>
    <x v="0"/>
    <x v="3"/>
    <x v="3"/>
    <x v="11"/>
    <x v="2"/>
  </r>
  <r>
    <x v="2111"/>
    <x v="12"/>
    <x v="2"/>
    <n v="44.8"/>
    <x v="1597"/>
    <x v="77"/>
    <d v="2025-03-20T00:00:00"/>
    <x v="3"/>
    <x v="4"/>
    <x v="0"/>
    <x v="0"/>
    <x v="3"/>
    <x v="3"/>
    <x v="11"/>
    <x v="3"/>
  </r>
  <r>
    <x v="2112"/>
    <x v="0"/>
    <x v="8"/>
    <n v="11.7"/>
    <x v="64"/>
    <x v="77"/>
    <d v="2025-03-20T00:00:00"/>
    <x v="1"/>
    <x v="2"/>
    <x v="2"/>
    <x v="0"/>
    <x v="3"/>
    <x v="3"/>
    <x v="11"/>
    <x v="1"/>
  </r>
  <r>
    <x v="2113"/>
    <x v="7"/>
    <x v="1"/>
    <n v="38.799999999999997"/>
    <x v="1598"/>
    <x v="77"/>
    <d v="2025-03-22T00:00:00"/>
    <x v="2"/>
    <x v="2"/>
    <x v="0"/>
    <x v="0"/>
    <x v="3"/>
    <x v="2"/>
    <x v="11"/>
    <x v="2"/>
  </r>
  <r>
    <x v="2114"/>
    <x v="5"/>
    <x v="21"/>
    <n v="86.9"/>
    <x v="1599"/>
    <x v="77"/>
    <d v="2025-03-24T00:00:00"/>
    <x v="2"/>
    <x v="1"/>
    <x v="0"/>
    <x v="0"/>
    <x v="3"/>
    <x v="0"/>
    <x v="11"/>
    <x v="2"/>
  </r>
  <r>
    <x v="2115"/>
    <x v="8"/>
    <x v="0"/>
    <n v="18.3"/>
    <x v="1600"/>
    <x v="77"/>
    <d v="2025-03-20T00:00:00"/>
    <x v="2"/>
    <x v="0"/>
    <x v="0"/>
    <x v="0"/>
    <x v="3"/>
    <x v="3"/>
    <x v="11"/>
    <x v="2"/>
  </r>
  <r>
    <x v="2116"/>
    <x v="5"/>
    <x v="0"/>
    <n v="47.5"/>
    <x v="1601"/>
    <x v="77"/>
    <d v="2025-03-23T00:00:00"/>
    <x v="1"/>
    <x v="4"/>
    <x v="2"/>
    <x v="0"/>
    <x v="3"/>
    <x v="5"/>
    <x v="11"/>
    <x v="1"/>
  </r>
  <r>
    <x v="2117"/>
    <x v="1"/>
    <x v="1"/>
    <n v="78.599999999999994"/>
    <x v="507"/>
    <x v="77"/>
    <d v="2025-03-20T00:00:00"/>
    <x v="1"/>
    <x v="2"/>
    <x v="2"/>
    <x v="0"/>
    <x v="3"/>
    <x v="3"/>
    <x v="11"/>
    <x v="1"/>
  </r>
  <r>
    <x v="2118"/>
    <x v="6"/>
    <x v="12"/>
    <n v="87.3"/>
    <x v="1602"/>
    <x v="77"/>
    <d v="2025-03-20T00:00:00"/>
    <x v="1"/>
    <x v="0"/>
    <x v="0"/>
    <x v="0"/>
    <x v="3"/>
    <x v="3"/>
    <x v="11"/>
    <x v="1"/>
  </r>
  <r>
    <x v="2119"/>
    <x v="9"/>
    <x v="1"/>
    <n v="63.2"/>
    <x v="628"/>
    <x v="77"/>
    <d v="2025-03-19T00:00:00"/>
    <x v="1"/>
    <x v="4"/>
    <x v="1"/>
    <x v="0"/>
    <x v="3"/>
    <x v="7"/>
    <x v="11"/>
    <x v="1"/>
  </r>
  <r>
    <x v="2120"/>
    <x v="5"/>
    <x v="9"/>
    <n v="33.700000000000003"/>
    <x v="1603"/>
    <x v="77"/>
    <d v="2025-03-20T00:00:00"/>
    <x v="2"/>
    <x v="0"/>
    <x v="0"/>
    <x v="0"/>
    <x v="3"/>
    <x v="3"/>
    <x v="11"/>
    <x v="2"/>
  </r>
  <r>
    <x v="2121"/>
    <x v="2"/>
    <x v="2"/>
    <n v="107.4"/>
    <x v="1604"/>
    <x v="77"/>
    <d v="2025-04-01T00:00:00"/>
    <x v="2"/>
    <x v="1"/>
    <x v="2"/>
    <x v="0"/>
    <x v="3"/>
    <x v="10"/>
    <x v="11"/>
    <x v="2"/>
  </r>
  <r>
    <x v="2122"/>
    <x v="4"/>
    <x v="12"/>
    <n v="22.2"/>
    <x v="1605"/>
    <x v="77"/>
    <d v="2025-03-20T00:00:00"/>
    <x v="0"/>
    <x v="1"/>
    <x v="2"/>
    <x v="0"/>
    <x v="24"/>
    <x v="3"/>
    <x v="11"/>
    <x v="0"/>
  </r>
  <r>
    <x v="2123"/>
    <x v="18"/>
    <x v="2"/>
    <n v="52.8"/>
    <x v="1329"/>
    <x v="77"/>
    <d v="2025-03-20T00:00:00"/>
    <x v="1"/>
    <x v="3"/>
    <x v="2"/>
    <x v="0"/>
    <x v="24"/>
    <x v="3"/>
    <x v="11"/>
    <x v="1"/>
  </r>
  <r>
    <x v="2124"/>
    <x v="8"/>
    <x v="2"/>
    <n v="41.5"/>
    <x v="376"/>
    <x v="77"/>
    <d v="2025-03-22T00:00:00"/>
    <x v="2"/>
    <x v="0"/>
    <x v="0"/>
    <x v="0"/>
    <x v="25"/>
    <x v="2"/>
    <x v="11"/>
    <x v="2"/>
  </r>
  <r>
    <x v="2125"/>
    <x v="12"/>
    <x v="8"/>
    <n v="103.5"/>
    <x v="1606"/>
    <x v="77"/>
    <d v="2025-03-22T00:00:00"/>
    <x v="2"/>
    <x v="0"/>
    <x v="2"/>
    <x v="0"/>
    <x v="23"/>
    <x v="2"/>
    <x v="11"/>
    <x v="2"/>
  </r>
  <r>
    <x v="2126"/>
    <x v="4"/>
    <x v="21"/>
    <n v="37.5"/>
    <x v="1469"/>
    <x v="77"/>
    <d v="2025-03-19T00:00:00"/>
    <x v="2"/>
    <x v="1"/>
    <x v="2"/>
    <x v="0"/>
    <x v="6"/>
    <x v="7"/>
    <x v="11"/>
    <x v="2"/>
  </r>
  <r>
    <x v="2127"/>
    <x v="15"/>
    <x v="8"/>
    <n v="44.4"/>
    <x v="1607"/>
    <x v="77"/>
    <d v="2025-03-25T00:00:00"/>
    <x v="2"/>
    <x v="3"/>
    <x v="2"/>
    <x v="0"/>
    <x v="7"/>
    <x v="4"/>
    <x v="11"/>
    <x v="2"/>
  </r>
  <r>
    <x v="2128"/>
    <x v="8"/>
    <x v="2"/>
    <n v="26.2"/>
    <x v="1608"/>
    <x v="77"/>
    <d v="2025-03-20T00:00:00"/>
    <x v="1"/>
    <x v="0"/>
    <x v="0"/>
    <x v="0"/>
    <x v="8"/>
    <x v="3"/>
    <x v="11"/>
    <x v="1"/>
  </r>
  <r>
    <x v="2129"/>
    <x v="1"/>
    <x v="3"/>
    <n v="32.200000000000003"/>
    <x v="1009"/>
    <x v="77"/>
    <d v="2025-03-20T00:00:00"/>
    <x v="2"/>
    <x v="1"/>
    <x v="2"/>
    <x v="0"/>
    <x v="8"/>
    <x v="3"/>
    <x v="11"/>
    <x v="2"/>
  </r>
  <r>
    <x v="2130"/>
    <x v="8"/>
    <x v="0"/>
    <n v="17.399999999999999"/>
    <x v="1609"/>
    <x v="77"/>
    <d v="2025-03-23T00:00:00"/>
    <x v="0"/>
    <x v="2"/>
    <x v="1"/>
    <x v="0"/>
    <x v="8"/>
    <x v="5"/>
    <x v="11"/>
    <x v="0"/>
  </r>
  <r>
    <x v="2131"/>
    <x v="8"/>
    <x v="13"/>
    <n v="72.3"/>
    <x v="1610"/>
    <x v="77"/>
    <d v="2025-03-22T00:00:00"/>
    <x v="2"/>
    <x v="0"/>
    <x v="0"/>
    <x v="0"/>
    <x v="8"/>
    <x v="2"/>
    <x v="11"/>
    <x v="2"/>
  </r>
  <r>
    <x v="2132"/>
    <x v="8"/>
    <x v="5"/>
    <n v="24.3"/>
    <x v="1611"/>
    <x v="77"/>
    <d v="2025-03-20T00:00:00"/>
    <x v="1"/>
    <x v="0"/>
    <x v="0"/>
    <x v="0"/>
    <x v="8"/>
    <x v="3"/>
    <x v="11"/>
    <x v="1"/>
  </r>
  <r>
    <x v="2133"/>
    <x v="13"/>
    <x v="2"/>
    <n v="49.1"/>
    <x v="824"/>
    <x v="77"/>
    <d v="2025-03-25T00:00:00"/>
    <x v="1"/>
    <x v="2"/>
    <x v="4"/>
    <x v="0"/>
    <x v="8"/>
    <x v="4"/>
    <x v="11"/>
    <x v="1"/>
  </r>
  <r>
    <x v="2134"/>
    <x v="2"/>
    <x v="7"/>
    <n v="234.7"/>
    <x v="1612"/>
    <x v="77"/>
    <d v="2025-03-20T00:00:00"/>
    <x v="1"/>
    <x v="3"/>
    <x v="1"/>
    <x v="0"/>
    <x v="8"/>
    <x v="3"/>
    <x v="11"/>
    <x v="1"/>
  </r>
  <r>
    <x v="2135"/>
    <x v="3"/>
    <x v="9"/>
    <n v="76.099999999999994"/>
    <x v="1613"/>
    <x v="77"/>
    <d v="2025-03-21T00:00:00"/>
    <x v="1"/>
    <x v="1"/>
    <x v="1"/>
    <x v="0"/>
    <x v="17"/>
    <x v="1"/>
    <x v="11"/>
    <x v="1"/>
  </r>
  <r>
    <x v="2136"/>
    <x v="1"/>
    <x v="2"/>
    <n v="93.9"/>
    <x v="1614"/>
    <x v="77"/>
    <d v="2025-03-20T00:00:00"/>
    <x v="1"/>
    <x v="1"/>
    <x v="4"/>
    <x v="0"/>
    <x v="11"/>
    <x v="3"/>
    <x v="11"/>
    <x v="1"/>
  </r>
  <r>
    <x v="2137"/>
    <x v="2"/>
    <x v="12"/>
    <n v="187"/>
    <x v="1615"/>
    <x v="78"/>
    <d v="2025-03-23T00:00:00"/>
    <x v="1"/>
    <x v="0"/>
    <x v="0"/>
    <x v="0"/>
    <x v="11"/>
    <x v="2"/>
    <x v="11"/>
    <x v="1"/>
  </r>
  <r>
    <x v="2138"/>
    <x v="8"/>
    <x v="1"/>
    <n v="18"/>
    <x v="53"/>
    <x v="78"/>
    <d v="2025-03-21T00:00:00"/>
    <x v="2"/>
    <x v="1"/>
    <x v="2"/>
    <x v="0"/>
    <x v="53"/>
    <x v="3"/>
    <x v="11"/>
    <x v="2"/>
  </r>
  <r>
    <x v="2139"/>
    <x v="4"/>
    <x v="0"/>
    <n v="24.4"/>
    <x v="1616"/>
    <x v="78"/>
    <d v="2025-03-21T00:00:00"/>
    <x v="2"/>
    <x v="4"/>
    <x v="2"/>
    <x v="0"/>
    <x v="21"/>
    <x v="3"/>
    <x v="11"/>
    <x v="2"/>
  </r>
  <r>
    <x v="2140"/>
    <x v="10"/>
    <x v="1"/>
    <n v="38.799999999999997"/>
    <x v="1598"/>
    <x v="78"/>
    <d v="2025-03-21T00:00:00"/>
    <x v="1"/>
    <x v="4"/>
    <x v="1"/>
    <x v="0"/>
    <x v="3"/>
    <x v="3"/>
    <x v="11"/>
    <x v="1"/>
  </r>
  <r>
    <x v="2141"/>
    <x v="3"/>
    <x v="0"/>
    <n v="59.7"/>
    <x v="1201"/>
    <x v="78"/>
    <d v="2025-03-23T00:00:00"/>
    <x v="1"/>
    <x v="3"/>
    <x v="0"/>
    <x v="0"/>
    <x v="3"/>
    <x v="2"/>
    <x v="11"/>
    <x v="1"/>
  </r>
  <r>
    <x v="2142"/>
    <x v="7"/>
    <x v="0"/>
    <n v="31.2"/>
    <x v="406"/>
    <x v="78"/>
    <d v="2025-03-21T00:00:00"/>
    <x v="1"/>
    <x v="1"/>
    <x v="2"/>
    <x v="0"/>
    <x v="3"/>
    <x v="3"/>
    <x v="11"/>
    <x v="1"/>
  </r>
  <r>
    <x v="2143"/>
    <x v="0"/>
    <x v="0"/>
    <n v="16.8"/>
    <x v="749"/>
    <x v="78"/>
    <d v="2025-03-21T00:00:00"/>
    <x v="2"/>
    <x v="2"/>
    <x v="1"/>
    <x v="0"/>
    <x v="3"/>
    <x v="3"/>
    <x v="11"/>
    <x v="2"/>
  </r>
  <r>
    <x v="2144"/>
    <x v="8"/>
    <x v="0"/>
    <n v="46"/>
    <x v="716"/>
    <x v="78"/>
    <d v="2025-03-21T00:00:00"/>
    <x v="1"/>
    <x v="0"/>
    <x v="0"/>
    <x v="0"/>
    <x v="3"/>
    <x v="3"/>
    <x v="11"/>
    <x v="1"/>
  </r>
  <r>
    <x v="2145"/>
    <x v="9"/>
    <x v="8"/>
    <n v="42.2"/>
    <x v="1617"/>
    <x v="78"/>
    <d v="2025-03-23T00:00:00"/>
    <x v="2"/>
    <x v="3"/>
    <x v="2"/>
    <x v="0"/>
    <x v="3"/>
    <x v="2"/>
    <x v="11"/>
    <x v="2"/>
  </r>
  <r>
    <x v="2146"/>
    <x v="1"/>
    <x v="2"/>
    <n v="71.5"/>
    <x v="523"/>
    <x v="78"/>
    <d v="2025-04-03T00:00:00"/>
    <x v="2"/>
    <x v="0"/>
    <x v="0"/>
    <x v="0"/>
    <x v="3"/>
    <x v="12"/>
    <x v="11"/>
    <x v="2"/>
  </r>
  <r>
    <x v="2147"/>
    <x v="1"/>
    <x v="1"/>
    <n v="76.599999999999994"/>
    <x v="1618"/>
    <x v="78"/>
    <d v="2025-03-20T00:00:00"/>
    <x v="1"/>
    <x v="0"/>
    <x v="2"/>
    <x v="0"/>
    <x v="3"/>
    <x v="7"/>
    <x v="11"/>
    <x v="1"/>
  </r>
  <r>
    <x v="2148"/>
    <x v="12"/>
    <x v="1"/>
    <n v="87.3"/>
    <x v="1619"/>
    <x v="78"/>
    <d v="2025-03-28T00:00:00"/>
    <x v="2"/>
    <x v="3"/>
    <x v="2"/>
    <x v="0"/>
    <x v="3"/>
    <x v="9"/>
    <x v="11"/>
    <x v="2"/>
  </r>
  <r>
    <x v="2149"/>
    <x v="1"/>
    <x v="0"/>
    <n v="63"/>
    <x v="1620"/>
    <x v="78"/>
    <d v="2025-03-23T00:00:00"/>
    <x v="1"/>
    <x v="3"/>
    <x v="0"/>
    <x v="0"/>
    <x v="3"/>
    <x v="2"/>
    <x v="11"/>
    <x v="1"/>
  </r>
  <r>
    <x v="2150"/>
    <x v="8"/>
    <x v="1"/>
    <n v="41.7"/>
    <x v="925"/>
    <x v="78"/>
    <d v="2025-03-21T00:00:00"/>
    <x v="2"/>
    <x v="4"/>
    <x v="1"/>
    <x v="0"/>
    <x v="43"/>
    <x v="3"/>
    <x v="11"/>
    <x v="2"/>
  </r>
  <r>
    <x v="2151"/>
    <x v="6"/>
    <x v="1"/>
    <n v="76.099999999999994"/>
    <x v="1621"/>
    <x v="78"/>
    <d v="2025-03-20T00:00:00"/>
    <x v="2"/>
    <x v="4"/>
    <x v="2"/>
    <x v="0"/>
    <x v="16"/>
    <x v="7"/>
    <x v="11"/>
    <x v="2"/>
  </r>
  <r>
    <x v="2152"/>
    <x v="13"/>
    <x v="1"/>
    <n v="28.5"/>
    <x v="933"/>
    <x v="78"/>
    <d v="2025-03-21T00:00:00"/>
    <x v="2"/>
    <x v="0"/>
    <x v="2"/>
    <x v="0"/>
    <x v="4"/>
    <x v="3"/>
    <x v="11"/>
    <x v="2"/>
  </r>
  <r>
    <x v="2153"/>
    <x v="0"/>
    <x v="12"/>
    <n v="32.1"/>
    <x v="58"/>
    <x v="78"/>
    <d v="2025-03-21T00:00:00"/>
    <x v="2"/>
    <x v="1"/>
    <x v="2"/>
    <x v="0"/>
    <x v="25"/>
    <x v="3"/>
    <x v="11"/>
    <x v="2"/>
  </r>
  <r>
    <x v="2154"/>
    <x v="4"/>
    <x v="2"/>
    <n v="39"/>
    <x v="1622"/>
    <x v="78"/>
    <d v="2025-03-23T00:00:00"/>
    <x v="1"/>
    <x v="1"/>
    <x v="2"/>
    <x v="0"/>
    <x v="25"/>
    <x v="2"/>
    <x v="11"/>
    <x v="1"/>
  </r>
  <r>
    <x v="2155"/>
    <x v="6"/>
    <x v="0"/>
    <n v="78.5"/>
    <x v="1623"/>
    <x v="78"/>
    <d v="2025-03-21T00:00:00"/>
    <x v="1"/>
    <x v="1"/>
    <x v="0"/>
    <x v="0"/>
    <x v="6"/>
    <x v="3"/>
    <x v="11"/>
    <x v="1"/>
  </r>
  <r>
    <x v="2156"/>
    <x v="4"/>
    <x v="9"/>
    <n v="49.7"/>
    <x v="1624"/>
    <x v="78"/>
    <d v="2025-03-22T00:00:00"/>
    <x v="2"/>
    <x v="0"/>
    <x v="0"/>
    <x v="0"/>
    <x v="6"/>
    <x v="1"/>
    <x v="11"/>
    <x v="2"/>
  </r>
  <r>
    <x v="2157"/>
    <x v="1"/>
    <x v="12"/>
    <n v="68.400000000000006"/>
    <x v="1625"/>
    <x v="78"/>
    <d v="2025-03-21T00:00:00"/>
    <x v="2"/>
    <x v="2"/>
    <x v="2"/>
    <x v="0"/>
    <x v="7"/>
    <x v="3"/>
    <x v="11"/>
    <x v="2"/>
  </r>
  <r>
    <x v="2158"/>
    <x v="3"/>
    <x v="1"/>
    <n v="72.900000000000006"/>
    <x v="1626"/>
    <x v="78"/>
    <d v="2025-03-23T00:00:00"/>
    <x v="0"/>
    <x v="0"/>
    <x v="2"/>
    <x v="0"/>
    <x v="7"/>
    <x v="2"/>
    <x v="11"/>
    <x v="0"/>
  </r>
  <r>
    <x v="2159"/>
    <x v="5"/>
    <x v="15"/>
    <n v="30.3"/>
    <x v="1627"/>
    <x v="78"/>
    <d v="2025-03-21T00:00:00"/>
    <x v="1"/>
    <x v="4"/>
    <x v="0"/>
    <x v="0"/>
    <x v="7"/>
    <x v="3"/>
    <x v="11"/>
    <x v="1"/>
  </r>
  <r>
    <x v="2160"/>
    <x v="6"/>
    <x v="5"/>
    <n v="57.9"/>
    <x v="1628"/>
    <x v="78"/>
    <d v="2025-03-21T00:00:00"/>
    <x v="2"/>
    <x v="0"/>
    <x v="0"/>
    <x v="0"/>
    <x v="8"/>
    <x v="3"/>
    <x v="11"/>
    <x v="2"/>
  </r>
  <r>
    <x v="2161"/>
    <x v="1"/>
    <x v="0"/>
    <n v="96.7"/>
    <x v="1629"/>
    <x v="78"/>
    <d v="2025-03-21T00:00:00"/>
    <x v="1"/>
    <x v="0"/>
    <x v="0"/>
    <x v="0"/>
    <x v="8"/>
    <x v="3"/>
    <x v="11"/>
    <x v="1"/>
  </r>
  <r>
    <x v="2162"/>
    <x v="8"/>
    <x v="4"/>
    <n v="27.6"/>
    <x v="1630"/>
    <x v="78"/>
    <d v="2025-03-22T00:00:00"/>
    <x v="1"/>
    <x v="2"/>
    <x v="2"/>
    <x v="0"/>
    <x v="8"/>
    <x v="1"/>
    <x v="11"/>
    <x v="1"/>
  </r>
  <r>
    <x v="2163"/>
    <x v="6"/>
    <x v="12"/>
    <n v="64.7"/>
    <x v="536"/>
    <x v="78"/>
    <d v="2025-03-20T00:00:00"/>
    <x v="1"/>
    <x v="3"/>
    <x v="2"/>
    <x v="0"/>
    <x v="8"/>
    <x v="7"/>
    <x v="11"/>
    <x v="1"/>
  </r>
  <r>
    <x v="2164"/>
    <x v="10"/>
    <x v="13"/>
    <n v="30.5"/>
    <x v="1143"/>
    <x v="78"/>
    <d v="2025-03-21T00:00:00"/>
    <x v="1"/>
    <x v="4"/>
    <x v="0"/>
    <x v="0"/>
    <x v="8"/>
    <x v="3"/>
    <x v="11"/>
    <x v="1"/>
  </r>
  <r>
    <x v="2165"/>
    <x v="6"/>
    <x v="47"/>
    <n v="106"/>
    <x v="1631"/>
    <x v="79"/>
    <d v="2025-03-23T00:00:00"/>
    <x v="1"/>
    <x v="4"/>
    <x v="2"/>
    <x v="0"/>
    <x v="8"/>
    <x v="1"/>
    <x v="11"/>
    <x v="1"/>
  </r>
  <r>
    <x v="2166"/>
    <x v="12"/>
    <x v="9"/>
    <n v="76.8"/>
    <x v="1632"/>
    <x v="79"/>
    <d v="2025-03-27T00:00:00"/>
    <x v="0"/>
    <x v="1"/>
    <x v="1"/>
    <x v="0"/>
    <x v="18"/>
    <x v="4"/>
    <x v="11"/>
    <x v="0"/>
  </r>
  <r>
    <x v="2167"/>
    <x v="6"/>
    <x v="1"/>
    <n v="80.400000000000006"/>
    <x v="1530"/>
    <x v="79"/>
    <d v="2025-03-22T00:00:00"/>
    <x v="2"/>
    <x v="2"/>
    <x v="0"/>
    <x v="0"/>
    <x v="13"/>
    <x v="3"/>
    <x v="11"/>
    <x v="2"/>
  </r>
  <r>
    <x v="2168"/>
    <x v="6"/>
    <x v="12"/>
    <n v="69.099999999999994"/>
    <x v="1633"/>
    <x v="79"/>
    <d v="2025-03-22T00:00:00"/>
    <x v="1"/>
    <x v="1"/>
    <x v="2"/>
    <x v="0"/>
    <x v="21"/>
    <x v="3"/>
    <x v="11"/>
    <x v="1"/>
  </r>
  <r>
    <x v="2169"/>
    <x v="18"/>
    <x v="1"/>
    <n v="76.400000000000006"/>
    <x v="1634"/>
    <x v="79"/>
    <d v="2025-03-21T00:00:00"/>
    <x v="1"/>
    <x v="3"/>
    <x v="0"/>
    <x v="0"/>
    <x v="21"/>
    <x v="7"/>
    <x v="11"/>
    <x v="1"/>
  </r>
  <r>
    <x v="2170"/>
    <x v="2"/>
    <x v="1"/>
    <n v="61.3"/>
    <x v="384"/>
    <x v="79"/>
    <d v="2025-03-22T00:00:00"/>
    <x v="2"/>
    <x v="1"/>
    <x v="1"/>
    <x v="0"/>
    <x v="21"/>
    <x v="3"/>
    <x v="11"/>
    <x v="2"/>
  </r>
  <r>
    <x v="2171"/>
    <x v="7"/>
    <x v="0"/>
    <n v="58"/>
    <x v="1635"/>
    <x v="79"/>
    <d v="2025-03-22T00:00:00"/>
    <x v="1"/>
    <x v="3"/>
    <x v="1"/>
    <x v="0"/>
    <x v="1"/>
    <x v="3"/>
    <x v="11"/>
    <x v="1"/>
  </r>
  <r>
    <x v="2172"/>
    <x v="2"/>
    <x v="8"/>
    <n v="102.3"/>
    <x v="1636"/>
    <x v="79"/>
    <d v="2025-03-23T00:00:00"/>
    <x v="1"/>
    <x v="2"/>
    <x v="0"/>
    <x v="0"/>
    <x v="42"/>
    <x v="1"/>
    <x v="11"/>
    <x v="1"/>
  </r>
  <r>
    <x v="2173"/>
    <x v="19"/>
    <x v="1"/>
    <n v="13.8"/>
    <x v="1637"/>
    <x v="79"/>
    <d v="2025-03-22T00:00:00"/>
    <x v="2"/>
    <x v="4"/>
    <x v="2"/>
    <x v="0"/>
    <x v="2"/>
    <x v="3"/>
    <x v="11"/>
    <x v="2"/>
  </r>
  <r>
    <x v="2174"/>
    <x v="8"/>
    <x v="2"/>
    <n v="33.299999999999997"/>
    <x v="1638"/>
    <x v="79"/>
    <d v="2025-03-24T00:00:00"/>
    <x v="2"/>
    <x v="2"/>
    <x v="0"/>
    <x v="0"/>
    <x v="22"/>
    <x v="2"/>
    <x v="11"/>
    <x v="2"/>
  </r>
  <r>
    <x v="2175"/>
    <x v="10"/>
    <x v="0"/>
    <n v="27.4"/>
    <x v="1639"/>
    <x v="79"/>
    <d v="2025-03-24T00:00:00"/>
    <x v="1"/>
    <x v="0"/>
    <x v="2"/>
    <x v="0"/>
    <x v="22"/>
    <x v="2"/>
    <x v="11"/>
    <x v="1"/>
  </r>
  <r>
    <x v="2176"/>
    <x v="14"/>
    <x v="1"/>
    <n v="25.6"/>
    <x v="180"/>
    <x v="79"/>
    <d v="2025-03-22T00:00:00"/>
    <x v="2"/>
    <x v="1"/>
    <x v="1"/>
    <x v="0"/>
    <x v="3"/>
    <x v="3"/>
    <x v="11"/>
    <x v="2"/>
  </r>
  <r>
    <x v="2177"/>
    <x v="13"/>
    <x v="0"/>
    <n v="58.4"/>
    <x v="305"/>
    <x v="79"/>
    <d v="2025-03-22T00:00:00"/>
    <x v="2"/>
    <x v="2"/>
    <x v="2"/>
    <x v="0"/>
    <x v="3"/>
    <x v="3"/>
    <x v="11"/>
    <x v="2"/>
  </r>
  <r>
    <x v="2178"/>
    <x v="11"/>
    <x v="17"/>
    <n v="27"/>
    <x v="906"/>
    <x v="79"/>
    <d v="2025-03-22T00:00:00"/>
    <x v="2"/>
    <x v="4"/>
    <x v="0"/>
    <x v="0"/>
    <x v="3"/>
    <x v="3"/>
    <x v="11"/>
    <x v="2"/>
  </r>
  <r>
    <x v="2179"/>
    <x v="0"/>
    <x v="12"/>
    <n v="14.2"/>
    <x v="1640"/>
    <x v="79"/>
    <d v="2025-03-22T00:00:00"/>
    <x v="1"/>
    <x v="0"/>
    <x v="2"/>
    <x v="0"/>
    <x v="3"/>
    <x v="3"/>
    <x v="11"/>
    <x v="1"/>
  </r>
  <r>
    <x v="2180"/>
    <x v="7"/>
    <x v="1"/>
    <n v="68"/>
    <x v="1641"/>
    <x v="79"/>
    <d v="2025-03-31T00:00:00"/>
    <x v="1"/>
    <x v="2"/>
    <x v="1"/>
    <x v="0"/>
    <x v="3"/>
    <x v="14"/>
    <x v="11"/>
    <x v="1"/>
  </r>
  <r>
    <x v="2181"/>
    <x v="8"/>
    <x v="0"/>
    <n v="30.7"/>
    <x v="1642"/>
    <x v="79"/>
    <d v="2025-03-22T00:00:00"/>
    <x v="1"/>
    <x v="0"/>
    <x v="0"/>
    <x v="0"/>
    <x v="3"/>
    <x v="3"/>
    <x v="11"/>
    <x v="1"/>
  </r>
  <r>
    <x v="2182"/>
    <x v="17"/>
    <x v="15"/>
    <n v="51.6"/>
    <x v="1643"/>
    <x v="79"/>
    <d v="2025-03-24T00:00:00"/>
    <x v="3"/>
    <x v="1"/>
    <x v="2"/>
    <x v="0"/>
    <x v="3"/>
    <x v="2"/>
    <x v="11"/>
    <x v="3"/>
  </r>
  <r>
    <x v="2183"/>
    <x v="8"/>
    <x v="2"/>
    <n v="20.6"/>
    <x v="957"/>
    <x v="79"/>
    <d v="2025-03-25T00:00:00"/>
    <x v="2"/>
    <x v="4"/>
    <x v="2"/>
    <x v="0"/>
    <x v="3"/>
    <x v="5"/>
    <x v="11"/>
    <x v="2"/>
  </r>
  <r>
    <x v="2184"/>
    <x v="8"/>
    <x v="0"/>
    <n v="24.8"/>
    <x v="1644"/>
    <x v="79"/>
    <d v="2025-03-22T00:00:00"/>
    <x v="1"/>
    <x v="4"/>
    <x v="0"/>
    <x v="0"/>
    <x v="3"/>
    <x v="3"/>
    <x v="11"/>
    <x v="1"/>
  </r>
  <r>
    <x v="2185"/>
    <x v="0"/>
    <x v="3"/>
    <n v="11.2"/>
    <x v="1645"/>
    <x v="79"/>
    <d v="2025-03-24T00:00:00"/>
    <x v="1"/>
    <x v="1"/>
    <x v="0"/>
    <x v="0"/>
    <x v="3"/>
    <x v="2"/>
    <x v="11"/>
    <x v="1"/>
  </r>
  <r>
    <x v="2186"/>
    <x v="11"/>
    <x v="1"/>
    <n v="51.2"/>
    <x v="298"/>
    <x v="79"/>
    <d v="2025-03-22T00:00:00"/>
    <x v="2"/>
    <x v="1"/>
    <x v="2"/>
    <x v="0"/>
    <x v="3"/>
    <x v="3"/>
    <x v="11"/>
    <x v="2"/>
  </r>
  <r>
    <x v="2187"/>
    <x v="7"/>
    <x v="13"/>
    <n v="90.5"/>
    <x v="1646"/>
    <x v="79"/>
    <d v="2025-03-22T00:00:00"/>
    <x v="2"/>
    <x v="1"/>
    <x v="4"/>
    <x v="0"/>
    <x v="3"/>
    <x v="3"/>
    <x v="11"/>
    <x v="2"/>
  </r>
  <r>
    <x v="2188"/>
    <x v="1"/>
    <x v="1"/>
    <n v="42.4"/>
    <x v="1647"/>
    <x v="79"/>
    <d v="2025-03-22T00:00:00"/>
    <x v="1"/>
    <x v="1"/>
    <x v="2"/>
    <x v="0"/>
    <x v="4"/>
    <x v="3"/>
    <x v="11"/>
    <x v="1"/>
  </r>
  <r>
    <x v="2189"/>
    <x v="1"/>
    <x v="1"/>
    <n v="38.200000000000003"/>
    <x v="1648"/>
    <x v="79"/>
    <d v="2025-03-22T00:00:00"/>
    <x v="1"/>
    <x v="0"/>
    <x v="0"/>
    <x v="0"/>
    <x v="5"/>
    <x v="3"/>
    <x v="11"/>
    <x v="1"/>
  </r>
  <r>
    <x v="2190"/>
    <x v="2"/>
    <x v="11"/>
    <n v="121.3"/>
    <x v="1649"/>
    <x v="79"/>
    <d v="2025-03-26T00:00:00"/>
    <x v="1"/>
    <x v="0"/>
    <x v="0"/>
    <x v="0"/>
    <x v="6"/>
    <x v="0"/>
    <x v="11"/>
    <x v="1"/>
  </r>
  <r>
    <x v="2191"/>
    <x v="6"/>
    <x v="1"/>
    <n v="46.9"/>
    <x v="1650"/>
    <x v="79"/>
    <d v="2025-03-28T00:00:00"/>
    <x v="1"/>
    <x v="0"/>
    <x v="0"/>
    <x v="0"/>
    <x v="8"/>
    <x v="6"/>
    <x v="11"/>
    <x v="1"/>
  </r>
  <r>
    <x v="2192"/>
    <x v="10"/>
    <x v="0"/>
    <n v="55.3"/>
    <x v="6"/>
    <x v="79"/>
    <d v="2025-03-23T00:00:00"/>
    <x v="1"/>
    <x v="0"/>
    <x v="0"/>
    <x v="0"/>
    <x v="8"/>
    <x v="1"/>
    <x v="11"/>
    <x v="1"/>
  </r>
  <r>
    <x v="2193"/>
    <x v="2"/>
    <x v="2"/>
    <n v="70.599999999999994"/>
    <x v="1651"/>
    <x v="80"/>
    <d v="2025-03-22T00:00:00"/>
    <x v="2"/>
    <x v="0"/>
    <x v="1"/>
    <x v="0"/>
    <x v="8"/>
    <x v="7"/>
    <x v="11"/>
    <x v="2"/>
  </r>
  <r>
    <x v="2194"/>
    <x v="14"/>
    <x v="12"/>
    <n v="26.1"/>
    <x v="1652"/>
    <x v="80"/>
    <d v="2025-03-24T00:00:00"/>
    <x v="1"/>
    <x v="0"/>
    <x v="0"/>
    <x v="0"/>
    <x v="8"/>
    <x v="1"/>
    <x v="11"/>
    <x v="1"/>
  </r>
  <r>
    <x v="2195"/>
    <x v="9"/>
    <x v="5"/>
    <n v="34.5"/>
    <x v="1653"/>
    <x v="80"/>
    <d v="2025-03-26T00:00:00"/>
    <x v="1"/>
    <x v="2"/>
    <x v="0"/>
    <x v="0"/>
    <x v="17"/>
    <x v="5"/>
    <x v="11"/>
    <x v="1"/>
  </r>
  <r>
    <x v="2196"/>
    <x v="1"/>
    <x v="1"/>
    <n v="64.2"/>
    <x v="58"/>
    <x v="80"/>
    <d v="2025-03-23T00:00:00"/>
    <x v="2"/>
    <x v="0"/>
    <x v="1"/>
    <x v="0"/>
    <x v="17"/>
    <x v="3"/>
    <x v="11"/>
    <x v="2"/>
  </r>
  <r>
    <x v="2197"/>
    <x v="2"/>
    <x v="12"/>
    <n v="145.69999999999999"/>
    <x v="1654"/>
    <x v="80"/>
    <d v="2025-03-23T00:00:00"/>
    <x v="2"/>
    <x v="0"/>
    <x v="4"/>
    <x v="0"/>
    <x v="17"/>
    <x v="3"/>
    <x v="11"/>
    <x v="2"/>
  </r>
  <r>
    <x v="2198"/>
    <x v="12"/>
    <x v="1"/>
    <n v="78.5"/>
    <x v="1655"/>
    <x v="80"/>
    <d v="2025-03-23T00:00:00"/>
    <x v="1"/>
    <x v="2"/>
    <x v="0"/>
    <x v="0"/>
    <x v="26"/>
    <x v="3"/>
    <x v="11"/>
    <x v="1"/>
  </r>
  <r>
    <x v="2199"/>
    <x v="1"/>
    <x v="0"/>
    <n v="34.200000000000003"/>
    <x v="1656"/>
    <x v="80"/>
    <d v="2025-03-24T00:00:00"/>
    <x v="1"/>
    <x v="0"/>
    <x v="0"/>
    <x v="0"/>
    <x v="9"/>
    <x v="1"/>
    <x v="11"/>
    <x v="1"/>
  </r>
  <r>
    <x v="2200"/>
    <x v="19"/>
    <x v="0"/>
    <n v="26.2"/>
    <x v="1102"/>
    <x v="80"/>
    <d v="2025-03-23T00:00:00"/>
    <x v="1"/>
    <x v="2"/>
    <x v="0"/>
    <x v="0"/>
    <x v="9"/>
    <x v="3"/>
    <x v="11"/>
    <x v="1"/>
  </r>
  <r>
    <x v="2201"/>
    <x v="6"/>
    <x v="12"/>
    <n v="53.2"/>
    <x v="1547"/>
    <x v="80"/>
    <d v="2025-03-23T00:00:00"/>
    <x v="1"/>
    <x v="1"/>
    <x v="1"/>
    <x v="0"/>
    <x v="11"/>
    <x v="3"/>
    <x v="11"/>
    <x v="1"/>
  </r>
  <r>
    <x v="2202"/>
    <x v="1"/>
    <x v="0"/>
    <n v="35.4"/>
    <x v="1657"/>
    <x v="80"/>
    <d v="2025-03-26T00:00:00"/>
    <x v="1"/>
    <x v="1"/>
    <x v="4"/>
    <x v="0"/>
    <x v="18"/>
    <x v="5"/>
    <x v="11"/>
    <x v="1"/>
  </r>
  <r>
    <x v="2203"/>
    <x v="14"/>
    <x v="1"/>
    <n v="21.3"/>
    <x v="440"/>
    <x v="80"/>
    <d v="2025-03-23T00:00:00"/>
    <x v="1"/>
    <x v="2"/>
    <x v="0"/>
    <x v="0"/>
    <x v="20"/>
    <x v="3"/>
    <x v="11"/>
    <x v="1"/>
  </r>
  <r>
    <x v="2204"/>
    <x v="8"/>
    <x v="12"/>
    <n v="32.9"/>
    <x v="1423"/>
    <x v="80"/>
    <d v="2025-03-25T00:00:00"/>
    <x v="2"/>
    <x v="4"/>
    <x v="2"/>
    <x v="0"/>
    <x v="21"/>
    <x v="2"/>
    <x v="11"/>
    <x v="2"/>
  </r>
  <r>
    <x v="2205"/>
    <x v="5"/>
    <x v="20"/>
    <n v="85.5"/>
    <x v="1658"/>
    <x v="80"/>
    <d v="2025-03-24T00:00:00"/>
    <x v="2"/>
    <x v="3"/>
    <x v="1"/>
    <x v="0"/>
    <x v="21"/>
    <x v="1"/>
    <x v="11"/>
    <x v="2"/>
  </r>
  <r>
    <x v="2206"/>
    <x v="4"/>
    <x v="0"/>
    <n v="26.8"/>
    <x v="63"/>
    <x v="80"/>
    <d v="2025-03-23T00:00:00"/>
    <x v="2"/>
    <x v="0"/>
    <x v="1"/>
    <x v="0"/>
    <x v="2"/>
    <x v="3"/>
    <x v="11"/>
    <x v="2"/>
  </r>
  <r>
    <x v="2207"/>
    <x v="9"/>
    <x v="18"/>
    <n v="31.7"/>
    <x v="1659"/>
    <x v="80"/>
    <d v="2025-03-22T00:00:00"/>
    <x v="2"/>
    <x v="3"/>
    <x v="0"/>
    <x v="0"/>
    <x v="2"/>
    <x v="7"/>
    <x v="11"/>
    <x v="2"/>
  </r>
  <r>
    <x v="2208"/>
    <x v="1"/>
    <x v="1"/>
    <n v="78.3"/>
    <x v="1660"/>
    <x v="80"/>
    <d v="2025-03-24T00:00:00"/>
    <x v="2"/>
    <x v="1"/>
    <x v="1"/>
    <x v="0"/>
    <x v="3"/>
    <x v="1"/>
    <x v="11"/>
    <x v="2"/>
  </r>
  <r>
    <x v="2209"/>
    <x v="6"/>
    <x v="0"/>
    <n v="43.9"/>
    <x v="1661"/>
    <x v="80"/>
    <d v="2025-03-23T00:00:00"/>
    <x v="1"/>
    <x v="0"/>
    <x v="0"/>
    <x v="0"/>
    <x v="3"/>
    <x v="3"/>
    <x v="11"/>
    <x v="1"/>
  </r>
  <r>
    <x v="2210"/>
    <x v="18"/>
    <x v="2"/>
    <n v="84"/>
    <x v="816"/>
    <x v="80"/>
    <d v="2025-03-24T00:00:00"/>
    <x v="0"/>
    <x v="3"/>
    <x v="2"/>
    <x v="0"/>
    <x v="3"/>
    <x v="1"/>
    <x v="11"/>
    <x v="0"/>
  </r>
  <r>
    <x v="2211"/>
    <x v="0"/>
    <x v="2"/>
    <n v="11.4"/>
    <x v="1656"/>
    <x v="80"/>
    <d v="2025-03-23T00:00:00"/>
    <x v="1"/>
    <x v="4"/>
    <x v="0"/>
    <x v="0"/>
    <x v="3"/>
    <x v="3"/>
    <x v="11"/>
    <x v="1"/>
  </r>
  <r>
    <x v="2212"/>
    <x v="12"/>
    <x v="8"/>
    <n v="47.5"/>
    <x v="1662"/>
    <x v="80"/>
    <d v="2025-03-30T00:00:00"/>
    <x v="2"/>
    <x v="0"/>
    <x v="0"/>
    <x v="0"/>
    <x v="3"/>
    <x v="9"/>
    <x v="11"/>
    <x v="2"/>
  </r>
  <r>
    <x v="2213"/>
    <x v="9"/>
    <x v="5"/>
    <n v="50.5"/>
    <x v="1663"/>
    <x v="80"/>
    <d v="2025-03-24T00:00:00"/>
    <x v="1"/>
    <x v="2"/>
    <x v="0"/>
    <x v="0"/>
    <x v="3"/>
    <x v="1"/>
    <x v="11"/>
    <x v="1"/>
  </r>
  <r>
    <x v="2214"/>
    <x v="15"/>
    <x v="0"/>
    <n v="36.299999999999997"/>
    <x v="1277"/>
    <x v="80"/>
    <d v="2025-03-25T00:00:00"/>
    <x v="3"/>
    <x v="0"/>
    <x v="1"/>
    <x v="0"/>
    <x v="8"/>
    <x v="2"/>
    <x v="11"/>
    <x v="3"/>
  </r>
  <r>
    <x v="2215"/>
    <x v="8"/>
    <x v="1"/>
    <n v="35.4"/>
    <x v="1664"/>
    <x v="80"/>
    <d v="2025-03-23T00:00:00"/>
    <x v="2"/>
    <x v="0"/>
    <x v="0"/>
    <x v="0"/>
    <x v="17"/>
    <x v="3"/>
    <x v="11"/>
    <x v="2"/>
  </r>
  <r>
    <x v="2216"/>
    <x v="1"/>
    <x v="2"/>
    <n v="45.9"/>
    <x v="223"/>
    <x v="81"/>
    <d v="2025-03-24T00:00:00"/>
    <x v="1"/>
    <x v="3"/>
    <x v="0"/>
    <x v="0"/>
    <x v="9"/>
    <x v="3"/>
    <x v="12"/>
    <x v="1"/>
  </r>
  <r>
    <x v="2217"/>
    <x v="6"/>
    <x v="7"/>
    <n v="41.2"/>
    <x v="1665"/>
    <x v="81"/>
    <d v="2025-03-27T00:00:00"/>
    <x v="1"/>
    <x v="0"/>
    <x v="0"/>
    <x v="0"/>
    <x v="11"/>
    <x v="5"/>
    <x v="12"/>
    <x v="1"/>
  </r>
  <r>
    <x v="2218"/>
    <x v="17"/>
    <x v="1"/>
    <n v="45.1"/>
    <x v="244"/>
    <x v="81"/>
    <d v="2025-03-24T00:00:00"/>
    <x v="1"/>
    <x v="1"/>
    <x v="1"/>
    <x v="0"/>
    <x v="21"/>
    <x v="3"/>
    <x v="12"/>
    <x v="1"/>
  </r>
  <r>
    <x v="2219"/>
    <x v="6"/>
    <x v="7"/>
    <n v="63.6"/>
    <x v="1666"/>
    <x v="81"/>
    <d v="2025-03-23T00:00:00"/>
    <x v="1"/>
    <x v="2"/>
    <x v="0"/>
    <x v="0"/>
    <x v="1"/>
    <x v="7"/>
    <x v="12"/>
    <x v="1"/>
  </r>
  <r>
    <x v="2220"/>
    <x v="8"/>
    <x v="0"/>
    <n v="70.5"/>
    <x v="1012"/>
    <x v="81"/>
    <d v="2025-03-24T00:00:00"/>
    <x v="1"/>
    <x v="0"/>
    <x v="0"/>
    <x v="0"/>
    <x v="3"/>
    <x v="3"/>
    <x v="12"/>
    <x v="1"/>
  </r>
  <r>
    <x v="2221"/>
    <x v="6"/>
    <x v="0"/>
    <n v="41.3"/>
    <x v="1667"/>
    <x v="81"/>
    <d v="2025-03-23T00:00:00"/>
    <x v="1"/>
    <x v="4"/>
    <x v="0"/>
    <x v="0"/>
    <x v="3"/>
    <x v="7"/>
    <x v="12"/>
    <x v="1"/>
  </r>
  <r>
    <x v="2222"/>
    <x v="4"/>
    <x v="0"/>
    <n v="35.299999999999997"/>
    <x v="1668"/>
    <x v="81"/>
    <d v="2025-03-26T00:00:00"/>
    <x v="2"/>
    <x v="4"/>
    <x v="2"/>
    <x v="0"/>
    <x v="3"/>
    <x v="2"/>
    <x v="12"/>
    <x v="2"/>
  </r>
  <r>
    <x v="2223"/>
    <x v="8"/>
    <x v="9"/>
    <n v="34.700000000000003"/>
    <x v="1669"/>
    <x v="81"/>
    <d v="2025-03-24T00:00:00"/>
    <x v="2"/>
    <x v="0"/>
    <x v="2"/>
    <x v="0"/>
    <x v="3"/>
    <x v="3"/>
    <x v="12"/>
    <x v="2"/>
  </r>
  <r>
    <x v="2224"/>
    <x v="8"/>
    <x v="2"/>
    <n v="26.1"/>
    <x v="1670"/>
    <x v="81"/>
    <d v="2025-03-24T00:00:00"/>
    <x v="2"/>
    <x v="0"/>
    <x v="0"/>
    <x v="0"/>
    <x v="3"/>
    <x v="3"/>
    <x v="12"/>
    <x v="2"/>
  </r>
  <r>
    <x v="2225"/>
    <x v="9"/>
    <x v="9"/>
    <n v="22.6"/>
    <x v="548"/>
    <x v="81"/>
    <d v="2025-03-23T00:00:00"/>
    <x v="2"/>
    <x v="1"/>
    <x v="2"/>
    <x v="0"/>
    <x v="3"/>
    <x v="7"/>
    <x v="12"/>
    <x v="2"/>
  </r>
  <r>
    <x v="2226"/>
    <x v="2"/>
    <x v="1"/>
    <n v="154.4"/>
    <x v="1671"/>
    <x v="81"/>
    <d v="2025-03-26T00:00:00"/>
    <x v="1"/>
    <x v="1"/>
    <x v="1"/>
    <x v="0"/>
    <x v="3"/>
    <x v="2"/>
    <x v="12"/>
    <x v="1"/>
  </r>
  <r>
    <x v="2227"/>
    <x v="8"/>
    <x v="1"/>
    <n v="18.399999999999999"/>
    <x v="791"/>
    <x v="81"/>
    <d v="2025-03-24T00:00:00"/>
    <x v="1"/>
    <x v="0"/>
    <x v="0"/>
    <x v="0"/>
    <x v="3"/>
    <x v="3"/>
    <x v="12"/>
    <x v="1"/>
  </r>
  <r>
    <x v="2228"/>
    <x v="14"/>
    <x v="0"/>
    <n v="25"/>
    <x v="1672"/>
    <x v="81"/>
    <d v="2025-03-26T00:00:00"/>
    <x v="2"/>
    <x v="0"/>
    <x v="0"/>
    <x v="0"/>
    <x v="3"/>
    <x v="2"/>
    <x v="12"/>
    <x v="2"/>
  </r>
  <r>
    <x v="2229"/>
    <x v="2"/>
    <x v="13"/>
    <n v="105.6"/>
    <x v="1673"/>
    <x v="81"/>
    <d v="2025-03-23T00:00:00"/>
    <x v="2"/>
    <x v="0"/>
    <x v="0"/>
    <x v="0"/>
    <x v="3"/>
    <x v="7"/>
    <x v="12"/>
    <x v="2"/>
  </r>
  <r>
    <x v="2230"/>
    <x v="18"/>
    <x v="8"/>
    <n v="59.6"/>
    <x v="1674"/>
    <x v="81"/>
    <d v="2025-03-23T00:00:00"/>
    <x v="2"/>
    <x v="0"/>
    <x v="2"/>
    <x v="0"/>
    <x v="23"/>
    <x v="7"/>
    <x v="12"/>
    <x v="2"/>
  </r>
  <r>
    <x v="2231"/>
    <x v="15"/>
    <x v="2"/>
    <n v="75.400000000000006"/>
    <x v="1675"/>
    <x v="81"/>
    <d v="2025-03-28T00:00:00"/>
    <x v="1"/>
    <x v="0"/>
    <x v="1"/>
    <x v="0"/>
    <x v="7"/>
    <x v="0"/>
    <x v="12"/>
    <x v="1"/>
  </r>
  <r>
    <x v="2232"/>
    <x v="7"/>
    <x v="0"/>
    <n v="104.4"/>
    <x v="1652"/>
    <x v="81"/>
    <d v="2025-03-24T00:00:00"/>
    <x v="2"/>
    <x v="0"/>
    <x v="0"/>
    <x v="0"/>
    <x v="8"/>
    <x v="3"/>
    <x v="12"/>
    <x v="2"/>
  </r>
  <r>
    <x v="2233"/>
    <x v="2"/>
    <x v="7"/>
    <n v="208.2"/>
    <x v="1676"/>
    <x v="81"/>
    <d v="2025-03-24T00:00:00"/>
    <x v="1"/>
    <x v="0"/>
    <x v="2"/>
    <x v="0"/>
    <x v="8"/>
    <x v="3"/>
    <x v="12"/>
    <x v="1"/>
  </r>
  <r>
    <x v="2234"/>
    <x v="6"/>
    <x v="1"/>
    <n v="45"/>
    <x v="645"/>
    <x v="81"/>
    <d v="2025-03-26T00:00:00"/>
    <x v="2"/>
    <x v="0"/>
    <x v="0"/>
    <x v="0"/>
    <x v="10"/>
    <x v="2"/>
    <x v="12"/>
    <x v="2"/>
  </r>
  <r>
    <x v="2235"/>
    <x v="15"/>
    <x v="1"/>
    <n v="20.3"/>
    <x v="1352"/>
    <x v="82"/>
    <d v="2025-03-26T00:00:00"/>
    <x v="0"/>
    <x v="1"/>
    <x v="0"/>
    <x v="0"/>
    <x v="11"/>
    <x v="1"/>
    <x v="12"/>
    <x v="0"/>
  </r>
  <r>
    <x v="2236"/>
    <x v="2"/>
    <x v="2"/>
    <n v="94.4"/>
    <x v="1677"/>
    <x v="82"/>
    <d v="2025-03-25T00:00:00"/>
    <x v="2"/>
    <x v="0"/>
    <x v="2"/>
    <x v="0"/>
    <x v="11"/>
    <x v="3"/>
    <x v="12"/>
    <x v="2"/>
  </r>
  <r>
    <x v="2237"/>
    <x v="9"/>
    <x v="0"/>
    <n v="49"/>
    <x v="268"/>
    <x v="82"/>
    <d v="2025-03-26T00:00:00"/>
    <x v="2"/>
    <x v="0"/>
    <x v="2"/>
    <x v="0"/>
    <x v="20"/>
    <x v="1"/>
    <x v="12"/>
    <x v="2"/>
  </r>
  <r>
    <x v="2238"/>
    <x v="4"/>
    <x v="1"/>
    <n v="27.2"/>
    <x v="630"/>
    <x v="82"/>
    <d v="2025-03-26T00:00:00"/>
    <x v="1"/>
    <x v="0"/>
    <x v="2"/>
    <x v="0"/>
    <x v="1"/>
    <x v="1"/>
    <x v="12"/>
    <x v="1"/>
  </r>
  <r>
    <x v="2239"/>
    <x v="2"/>
    <x v="13"/>
    <n v="72.599999999999994"/>
    <x v="349"/>
    <x v="82"/>
    <d v="2025-03-25T00:00:00"/>
    <x v="2"/>
    <x v="0"/>
    <x v="2"/>
    <x v="0"/>
    <x v="2"/>
    <x v="3"/>
    <x v="12"/>
    <x v="2"/>
  </r>
  <r>
    <x v="2240"/>
    <x v="15"/>
    <x v="12"/>
    <n v="62.4"/>
    <x v="1267"/>
    <x v="82"/>
    <d v="2025-03-25T00:00:00"/>
    <x v="2"/>
    <x v="0"/>
    <x v="0"/>
    <x v="0"/>
    <x v="3"/>
    <x v="3"/>
    <x v="12"/>
    <x v="2"/>
  </r>
  <r>
    <x v="2241"/>
    <x v="8"/>
    <x v="2"/>
    <n v="19.100000000000001"/>
    <x v="1281"/>
    <x v="82"/>
    <d v="2025-03-26T00:00:00"/>
    <x v="1"/>
    <x v="0"/>
    <x v="1"/>
    <x v="0"/>
    <x v="3"/>
    <x v="1"/>
    <x v="12"/>
    <x v="1"/>
  </r>
  <r>
    <x v="2242"/>
    <x v="10"/>
    <x v="0"/>
    <n v="29.6"/>
    <x v="1678"/>
    <x v="82"/>
    <d v="2025-03-28T00:00:00"/>
    <x v="1"/>
    <x v="0"/>
    <x v="4"/>
    <x v="0"/>
    <x v="3"/>
    <x v="5"/>
    <x v="12"/>
    <x v="1"/>
  </r>
  <r>
    <x v="2243"/>
    <x v="8"/>
    <x v="1"/>
    <n v="18.899999999999999"/>
    <x v="463"/>
    <x v="82"/>
    <d v="2025-03-26T00:00:00"/>
    <x v="2"/>
    <x v="4"/>
    <x v="2"/>
    <x v="0"/>
    <x v="3"/>
    <x v="1"/>
    <x v="12"/>
    <x v="2"/>
  </r>
  <r>
    <x v="2244"/>
    <x v="10"/>
    <x v="9"/>
    <n v="41.4"/>
    <x v="461"/>
    <x v="82"/>
    <d v="2025-03-25T00:00:00"/>
    <x v="1"/>
    <x v="3"/>
    <x v="0"/>
    <x v="0"/>
    <x v="3"/>
    <x v="3"/>
    <x v="12"/>
    <x v="1"/>
  </r>
  <r>
    <x v="2245"/>
    <x v="2"/>
    <x v="0"/>
    <n v="118.4"/>
    <x v="1250"/>
    <x v="82"/>
    <d v="2025-03-25T00:00:00"/>
    <x v="2"/>
    <x v="0"/>
    <x v="2"/>
    <x v="0"/>
    <x v="3"/>
    <x v="3"/>
    <x v="12"/>
    <x v="2"/>
  </r>
  <r>
    <x v="2246"/>
    <x v="2"/>
    <x v="1"/>
    <n v="125.3"/>
    <x v="1679"/>
    <x v="82"/>
    <d v="2025-03-27T00:00:00"/>
    <x v="2"/>
    <x v="0"/>
    <x v="2"/>
    <x v="0"/>
    <x v="3"/>
    <x v="2"/>
    <x v="12"/>
    <x v="2"/>
  </r>
  <r>
    <x v="2247"/>
    <x v="3"/>
    <x v="1"/>
    <n v="85.8"/>
    <x v="1512"/>
    <x v="82"/>
    <d v="2025-03-25T00:00:00"/>
    <x v="2"/>
    <x v="1"/>
    <x v="4"/>
    <x v="0"/>
    <x v="3"/>
    <x v="3"/>
    <x v="12"/>
    <x v="2"/>
  </r>
  <r>
    <x v="2248"/>
    <x v="6"/>
    <x v="0"/>
    <n v="44.2"/>
    <x v="573"/>
    <x v="82"/>
    <d v="2025-03-27T00:00:00"/>
    <x v="1"/>
    <x v="1"/>
    <x v="0"/>
    <x v="0"/>
    <x v="3"/>
    <x v="2"/>
    <x v="12"/>
    <x v="1"/>
  </r>
  <r>
    <x v="2249"/>
    <x v="5"/>
    <x v="12"/>
    <n v="74.099999999999994"/>
    <x v="764"/>
    <x v="82"/>
    <d v="2025-03-26T00:00:00"/>
    <x v="2"/>
    <x v="0"/>
    <x v="0"/>
    <x v="0"/>
    <x v="3"/>
    <x v="1"/>
    <x v="12"/>
    <x v="2"/>
  </r>
  <r>
    <x v="2250"/>
    <x v="8"/>
    <x v="0"/>
    <n v="33.799999999999997"/>
    <x v="1680"/>
    <x v="82"/>
    <d v="2025-03-25T00:00:00"/>
    <x v="2"/>
    <x v="2"/>
    <x v="2"/>
    <x v="0"/>
    <x v="24"/>
    <x v="3"/>
    <x v="12"/>
    <x v="2"/>
  </r>
  <r>
    <x v="2251"/>
    <x v="1"/>
    <x v="1"/>
    <n v="39.1"/>
    <x v="1148"/>
    <x v="82"/>
    <d v="2025-03-25T00:00:00"/>
    <x v="1"/>
    <x v="0"/>
    <x v="1"/>
    <x v="0"/>
    <x v="24"/>
    <x v="3"/>
    <x v="12"/>
    <x v="1"/>
  </r>
  <r>
    <x v="2252"/>
    <x v="0"/>
    <x v="0"/>
    <n v="37.200000000000003"/>
    <x v="804"/>
    <x v="82"/>
    <d v="2025-03-25T00:00:00"/>
    <x v="1"/>
    <x v="0"/>
    <x v="1"/>
    <x v="0"/>
    <x v="16"/>
    <x v="3"/>
    <x v="12"/>
    <x v="1"/>
  </r>
  <r>
    <x v="2253"/>
    <x v="15"/>
    <x v="2"/>
    <n v="33.9"/>
    <x v="1681"/>
    <x v="82"/>
    <d v="2025-03-26T00:00:00"/>
    <x v="1"/>
    <x v="2"/>
    <x v="0"/>
    <x v="0"/>
    <x v="6"/>
    <x v="1"/>
    <x v="12"/>
    <x v="1"/>
  </r>
  <r>
    <x v="2254"/>
    <x v="7"/>
    <x v="20"/>
    <n v="73.3"/>
    <x v="1682"/>
    <x v="82"/>
    <d v="2025-03-27T00:00:00"/>
    <x v="2"/>
    <x v="2"/>
    <x v="1"/>
    <x v="0"/>
    <x v="8"/>
    <x v="2"/>
    <x v="12"/>
    <x v="2"/>
  </r>
  <r>
    <x v="2255"/>
    <x v="8"/>
    <x v="12"/>
    <n v="35"/>
    <x v="1683"/>
    <x v="82"/>
    <d v="2025-03-26T00:00:00"/>
    <x v="2"/>
    <x v="1"/>
    <x v="0"/>
    <x v="0"/>
    <x v="8"/>
    <x v="1"/>
    <x v="12"/>
    <x v="2"/>
  </r>
  <r>
    <x v="2256"/>
    <x v="0"/>
    <x v="2"/>
    <n v="22.2"/>
    <x v="815"/>
    <x v="82"/>
    <d v="2025-03-25T00:00:00"/>
    <x v="1"/>
    <x v="1"/>
    <x v="0"/>
    <x v="0"/>
    <x v="17"/>
    <x v="3"/>
    <x v="12"/>
    <x v="1"/>
  </r>
  <r>
    <x v="2257"/>
    <x v="10"/>
    <x v="0"/>
    <n v="32.4"/>
    <x v="1684"/>
    <x v="82"/>
    <d v="2025-03-25T00:00:00"/>
    <x v="2"/>
    <x v="0"/>
    <x v="0"/>
    <x v="0"/>
    <x v="11"/>
    <x v="3"/>
    <x v="12"/>
    <x v="2"/>
  </r>
  <r>
    <x v="2258"/>
    <x v="5"/>
    <x v="2"/>
    <n v="88.4"/>
    <x v="1685"/>
    <x v="83"/>
    <d v="2025-03-27T00:00:00"/>
    <x v="2"/>
    <x v="1"/>
    <x v="1"/>
    <x v="0"/>
    <x v="11"/>
    <x v="1"/>
    <x v="12"/>
    <x v="2"/>
  </r>
  <r>
    <x v="2259"/>
    <x v="5"/>
    <x v="27"/>
    <n v="30.5"/>
    <x v="865"/>
    <x v="83"/>
    <d v="2025-03-26T00:00:00"/>
    <x v="2"/>
    <x v="2"/>
    <x v="0"/>
    <x v="0"/>
    <x v="11"/>
    <x v="3"/>
    <x v="12"/>
    <x v="2"/>
  </r>
  <r>
    <x v="2260"/>
    <x v="1"/>
    <x v="13"/>
    <n v="38.1"/>
    <x v="1686"/>
    <x v="83"/>
    <d v="2025-03-27T00:00:00"/>
    <x v="2"/>
    <x v="0"/>
    <x v="1"/>
    <x v="0"/>
    <x v="11"/>
    <x v="1"/>
    <x v="12"/>
    <x v="2"/>
  </r>
  <r>
    <x v="2261"/>
    <x v="10"/>
    <x v="9"/>
    <n v="37.6"/>
    <x v="885"/>
    <x v="83"/>
    <d v="2025-03-29T00:00:00"/>
    <x v="1"/>
    <x v="0"/>
    <x v="0"/>
    <x v="0"/>
    <x v="11"/>
    <x v="5"/>
    <x v="12"/>
    <x v="1"/>
  </r>
  <r>
    <x v="2262"/>
    <x v="15"/>
    <x v="1"/>
    <n v="31.4"/>
    <x v="143"/>
    <x v="83"/>
    <d v="2025-03-26T00:00:00"/>
    <x v="1"/>
    <x v="0"/>
    <x v="2"/>
    <x v="0"/>
    <x v="11"/>
    <x v="3"/>
    <x v="12"/>
    <x v="1"/>
  </r>
  <r>
    <x v="2263"/>
    <x v="6"/>
    <x v="1"/>
    <n v="61.5"/>
    <x v="1287"/>
    <x v="83"/>
    <d v="2025-03-26T00:00:00"/>
    <x v="1"/>
    <x v="3"/>
    <x v="0"/>
    <x v="0"/>
    <x v="31"/>
    <x v="3"/>
    <x v="12"/>
    <x v="1"/>
  </r>
  <r>
    <x v="2264"/>
    <x v="6"/>
    <x v="0"/>
    <n v="72.599999999999994"/>
    <x v="1325"/>
    <x v="83"/>
    <d v="2025-03-26T00:00:00"/>
    <x v="1"/>
    <x v="0"/>
    <x v="1"/>
    <x v="0"/>
    <x v="21"/>
    <x v="3"/>
    <x v="12"/>
    <x v="1"/>
  </r>
  <r>
    <x v="2265"/>
    <x v="9"/>
    <x v="2"/>
    <n v="26.9"/>
    <x v="1687"/>
    <x v="83"/>
    <d v="2025-03-30T00:00:00"/>
    <x v="3"/>
    <x v="4"/>
    <x v="1"/>
    <x v="0"/>
    <x v="46"/>
    <x v="0"/>
    <x v="12"/>
    <x v="3"/>
  </r>
  <r>
    <x v="2266"/>
    <x v="17"/>
    <x v="4"/>
    <n v="29.4"/>
    <x v="1688"/>
    <x v="83"/>
    <d v="2025-03-26T00:00:00"/>
    <x v="2"/>
    <x v="1"/>
    <x v="0"/>
    <x v="0"/>
    <x v="51"/>
    <x v="3"/>
    <x v="12"/>
    <x v="2"/>
  </r>
  <r>
    <x v="2267"/>
    <x v="17"/>
    <x v="1"/>
    <n v="42.1"/>
    <x v="903"/>
    <x v="83"/>
    <d v="2025-03-26T00:00:00"/>
    <x v="2"/>
    <x v="3"/>
    <x v="1"/>
    <x v="0"/>
    <x v="1"/>
    <x v="3"/>
    <x v="12"/>
    <x v="2"/>
  </r>
  <r>
    <x v="2268"/>
    <x v="5"/>
    <x v="0"/>
    <n v="40.5"/>
    <x v="1117"/>
    <x v="83"/>
    <d v="2025-03-26T00:00:00"/>
    <x v="2"/>
    <x v="2"/>
    <x v="1"/>
    <x v="0"/>
    <x v="1"/>
    <x v="3"/>
    <x v="12"/>
    <x v="2"/>
  </r>
  <r>
    <x v="2269"/>
    <x v="2"/>
    <x v="12"/>
    <n v="182.3"/>
    <x v="1689"/>
    <x v="83"/>
    <d v="2025-03-26T00:00:00"/>
    <x v="2"/>
    <x v="1"/>
    <x v="0"/>
    <x v="0"/>
    <x v="1"/>
    <x v="3"/>
    <x v="12"/>
    <x v="2"/>
  </r>
  <r>
    <x v="2270"/>
    <x v="2"/>
    <x v="9"/>
    <n v="157"/>
    <x v="1690"/>
    <x v="83"/>
    <d v="2025-03-28T00:00:00"/>
    <x v="2"/>
    <x v="1"/>
    <x v="2"/>
    <x v="0"/>
    <x v="2"/>
    <x v="2"/>
    <x v="12"/>
    <x v="2"/>
  </r>
  <r>
    <x v="2271"/>
    <x v="17"/>
    <x v="9"/>
    <n v="45.2"/>
    <x v="326"/>
    <x v="83"/>
    <d v="2025-03-28T00:00:00"/>
    <x v="2"/>
    <x v="1"/>
    <x v="0"/>
    <x v="0"/>
    <x v="22"/>
    <x v="2"/>
    <x v="12"/>
    <x v="2"/>
  </r>
  <r>
    <x v="2272"/>
    <x v="15"/>
    <x v="12"/>
    <n v="27.4"/>
    <x v="1239"/>
    <x v="83"/>
    <d v="2025-03-27T00:00:00"/>
    <x v="2"/>
    <x v="0"/>
    <x v="0"/>
    <x v="0"/>
    <x v="3"/>
    <x v="1"/>
    <x v="12"/>
    <x v="2"/>
  </r>
  <r>
    <x v="2273"/>
    <x v="5"/>
    <x v="9"/>
    <n v="34.1"/>
    <x v="1691"/>
    <x v="83"/>
    <d v="2025-03-27T00:00:00"/>
    <x v="1"/>
    <x v="0"/>
    <x v="2"/>
    <x v="0"/>
    <x v="3"/>
    <x v="1"/>
    <x v="12"/>
    <x v="1"/>
  </r>
  <r>
    <x v="2274"/>
    <x v="0"/>
    <x v="1"/>
    <n v="26"/>
    <x v="1692"/>
    <x v="83"/>
    <d v="2025-03-27T00:00:00"/>
    <x v="1"/>
    <x v="2"/>
    <x v="1"/>
    <x v="0"/>
    <x v="3"/>
    <x v="1"/>
    <x v="12"/>
    <x v="1"/>
  </r>
  <r>
    <x v="2275"/>
    <x v="8"/>
    <x v="3"/>
    <n v="19.399999999999999"/>
    <x v="1693"/>
    <x v="83"/>
    <d v="2025-03-27T00:00:00"/>
    <x v="0"/>
    <x v="1"/>
    <x v="1"/>
    <x v="0"/>
    <x v="3"/>
    <x v="1"/>
    <x v="12"/>
    <x v="0"/>
  </r>
  <r>
    <x v="2276"/>
    <x v="16"/>
    <x v="2"/>
    <n v="30.3"/>
    <x v="407"/>
    <x v="83"/>
    <d v="2025-03-28T00:00:00"/>
    <x v="2"/>
    <x v="1"/>
    <x v="2"/>
    <x v="0"/>
    <x v="3"/>
    <x v="2"/>
    <x v="12"/>
    <x v="2"/>
  </r>
  <r>
    <x v="2277"/>
    <x v="2"/>
    <x v="2"/>
    <n v="101.4"/>
    <x v="1694"/>
    <x v="83"/>
    <d v="2025-03-26T00:00:00"/>
    <x v="1"/>
    <x v="0"/>
    <x v="0"/>
    <x v="0"/>
    <x v="3"/>
    <x v="3"/>
    <x v="12"/>
    <x v="1"/>
  </r>
  <r>
    <x v="2278"/>
    <x v="3"/>
    <x v="9"/>
    <n v="55.5"/>
    <x v="819"/>
    <x v="83"/>
    <d v="2025-03-28T00:00:00"/>
    <x v="1"/>
    <x v="1"/>
    <x v="0"/>
    <x v="0"/>
    <x v="24"/>
    <x v="2"/>
    <x v="12"/>
    <x v="1"/>
  </r>
  <r>
    <x v="2279"/>
    <x v="8"/>
    <x v="0"/>
    <n v="23.1"/>
    <x v="1695"/>
    <x v="83"/>
    <d v="2025-03-26T00:00:00"/>
    <x v="1"/>
    <x v="0"/>
    <x v="0"/>
    <x v="0"/>
    <x v="25"/>
    <x v="3"/>
    <x v="12"/>
    <x v="1"/>
  </r>
  <r>
    <x v="2280"/>
    <x v="18"/>
    <x v="1"/>
    <n v="38.9"/>
    <x v="482"/>
    <x v="83"/>
    <d v="2025-03-26T00:00:00"/>
    <x v="1"/>
    <x v="2"/>
    <x v="0"/>
    <x v="0"/>
    <x v="25"/>
    <x v="3"/>
    <x v="12"/>
    <x v="1"/>
  </r>
  <r>
    <x v="2281"/>
    <x v="6"/>
    <x v="11"/>
    <n v="116.3"/>
    <x v="1696"/>
    <x v="83"/>
    <d v="2025-03-29T00:00:00"/>
    <x v="2"/>
    <x v="0"/>
    <x v="0"/>
    <x v="0"/>
    <x v="5"/>
    <x v="5"/>
    <x v="12"/>
    <x v="2"/>
  </r>
  <r>
    <x v="2282"/>
    <x v="16"/>
    <x v="11"/>
    <n v="64.099999999999994"/>
    <x v="1697"/>
    <x v="83"/>
    <d v="2025-03-25T00:00:00"/>
    <x v="2"/>
    <x v="0"/>
    <x v="2"/>
    <x v="0"/>
    <x v="6"/>
    <x v="7"/>
    <x v="12"/>
    <x v="2"/>
  </r>
  <r>
    <x v="2283"/>
    <x v="2"/>
    <x v="13"/>
    <n v="109.2"/>
    <x v="1698"/>
    <x v="83"/>
    <d v="2025-03-27T00:00:00"/>
    <x v="1"/>
    <x v="0"/>
    <x v="1"/>
    <x v="0"/>
    <x v="8"/>
    <x v="1"/>
    <x v="12"/>
    <x v="1"/>
  </r>
  <r>
    <x v="2284"/>
    <x v="10"/>
    <x v="9"/>
    <n v="23.2"/>
    <x v="1699"/>
    <x v="84"/>
    <d v="2025-03-27T00:00:00"/>
    <x v="1"/>
    <x v="0"/>
    <x v="1"/>
    <x v="0"/>
    <x v="8"/>
    <x v="3"/>
    <x v="12"/>
    <x v="1"/>
  </r>
  <r>
    <x v="2285"/>
    <x v="18"/>
    <x v="13"/>
    <n v="81.2"/>
    <x v="1700"/>
    <x v="84"/>
    <d v="2025-03-28T00:00:00"/>
    <x v="1"/>
    <x v="2"/>
    <x v="2"/>
    <x v="0"/>
    <x v="8"/>
    <x v="1"/>
    <x v="12"/>
    <x v="1"/>
  </r>
  <r>
    <x v="2286"/>
    <x v="1"/>
    <x v="21"/>
    <n v="35.700000000000003"/>
    <x v="1701"/>
    <x v="84"/>
    <d v="2025-03-27T00:00:00"/>
    <x v="1"/>
    <x v="3"/>
    <x v="0"/>
    <x v="0"/>
    <x v="8"/>
    <x v="3"/>
    <x v="12"/>
    <x v="1"/>
  </r>
  <r>
    <x v="2287"/>
    <x v="7"/>
    <x v="1"/>
    <n v="44.5"/>
    <x v="1702"/>
    <x v="84"/>
    <d v="2025-03-29T00:00:00"/>
    <x v="1"/>
    <x v="4"/>
    <x v="0"/>
    <x v="0"/>
    <x v="9"/>
    <x v="2"/>
    <x v="12"/>
    <x v="1"/>
  </r>
  <r>
    <x v="2288"/>
    <x v="1"/>
    <x v="9"/>
    <n v="32"/>
    <x v="444"/>
    <x v="84"/>
    <d v="2025-03-28T00:00:00"/>
    <x v="3"/>
    <x v="1"/>
    <x v="1"/>
    <x v="0"/>
    <x v="9"/>
    <x v="1"/>
    <x v="12"/>
    <x v="3"/>
  </r>
  <r>
    <x v="2289"/>
    <x v="8"/>
    <x v="0"/>
    <n v="25.7"/>
    <x v="1703"/>
    <x v="84"/>
    <d v="2025-03-27T00:00:00"/>
    <x v="1"/>
    <x v="0"/>
    <x v="0"/>
    <x v="0"/>
    <x v="10"/>
    <x v="3"/>
    <x v="12"/>
    <x v="1"/>
  </r>
  <r>
    <x v="2290"/>
    <x v="16"/>
    <x v="2"/>
    <n v="65.599999999999994"/>
    <x v="487"/>
    <x v="84"/>
    <d v="2025-04-01T00:00:00"/>
    <x v="1"/>
    <x v="0"/>
    <x v="0"/>
    <x v="0"/>
    <x v="11"/>
    <x v="4"/>
    <x v="12"/>
    <x v="1"/>
  </r>
  <r>
    <x v="2291"/>
    <x v="1"/>
    <x v="12"/>
    <n v="52.1"/>
    <x v="1704"/>
    <x v="84"/>
    <d v="2025-03-27T00:00:00"/>
    <x v="2"/>
    <x v="0"/>
    <x v="2"/>
    <x v="0"/>
    <x v="11"/>
    <x v="3"/>
    <x v="12"/>
    <x v="2"/>
  </r>
  <r>
    <x v="2292"/>
    <x v="8"/>
    <x v="0"/>
    <n v="31"/>
    <x v="1705"/>
    <x v="84"/>
    <d v="2025-03-27T00:00:00"/>
    <x v="1"/>
    <x v="0"/>
    <x v="1"/>
    <x v="0"/>
    <x v="19"/>
    <x v="3"/>
    <x v="12"/>
    <x v="1"/>
  </r>
  <r>
    <x v="2293"/>
    <x v="8"/>
    <x v="0"/>
    <n v="32"/>
    <x v="109"/>
    <x v="84"/>
    <d v="2025-03-28T00:00:00"/>
    <x v="3"/>
    <x v="3"/>
    <x v="1"/>
    <x v="0"/>
    <x v="31"/>
    <x v="1"/>
    <x v="12"/>
    <x v="3"/>
  </r>
  <r>
    <x v="2294"/>
    <x v="16"/>
    <x v="12"/>
    <n v="58.3"/>
    <x v="1706"/>
    <x v="84"/>
    <d v="2025-03-30T00:00:00"/>
    <x v="1"/>
    <x v="1"/>
    <x v="4"/>
    <x v="0"/>
    <x v="20"/>
    <x v="5"/>
    <x v="12"/>
    <x v="1"/>
  </r>
  <r>
    <x v="2295"/>
    <x v="8"/>
    <x v="2"/>
    <n v="31"/>
    <x v="1707"/>
    <x v="84"/>
    <d v="2025-03-28T00:00:00"/>
    <x v="2"/>
    <x v="2"/>
    <x v="4"/>
    <x v="0"/>
    <x v="13"/>
    <x v="1"/>
    <x v="12"/>
    <x v="2"/>
  </r>
  <r>
    <x v="2296"/>
    <x v="3"/>
    <x v="0"/>
    <n v="40.299999999999997"/>
    <x v="518"/>
    <x v="84"/>
    <d v="2025-03-27T00:00:00"/>
    <x v="1"/>
    <x v="1"/>
    <x v="2"/>
    <x v="0"/>
    <x v="54"/>
    <x v="3"/>
    <x v="12"/>
    <x v="1"/>
  </r>
  <r>
    <x v="2297"/>
    <x v="6"/>
    <x v="2"/>
    <n v="47.3"/>
    <x v="1708"/>
    <x v="84"/>
    <d v="2025-03-28T00:00:00"/>
    <x v="1"/>
    <x v="4"/>
    <x v="2"/>
    <x v="0"/>
    <x v="2"/>
    <x v="1"/>
    <x v="12"/>
    <x v="1"/>
  </r>
  <r>
    <x v="2298"/>
    <x v="2"/>
    <x v="0"/>
    <n v="82.8"/>
    <x v="1182"/>
    <x v="84"/>
    <d v="2025-03-27T00:00:00"/>
    <x v="1"/>
    <x v="0"/>
    <x v="0"/>
    <x v="0"/>
    <x v="2"/>
    <x v="3"/>
    <x v="12"/>
    <x v="1"/>
  </r>
  <r>
    <x v="2299"/>
    <x v="8"/>
    <x v="0"/>
    <n v="18.5"/>
    <x v="1709"/>
    <x v="84"/>
    <d v="2025-04-09T00:00:00"/>
    <x v="2"/>
    <x v="0"/>
    <x v="0"/>
    <x v="0"/>
    <x v="44"/>
    <x v="12"/>
    <x v="12"/>
    <x v="2"/>
  </r>
  <r>
    <x v="2300"/>
    <x v="3"/>
    <x v="1"/>
    <n v="60.4"/>
    <x v="1710"/>
    <x v="84"/>
    <d v="2025-03-27T00:00:00"/>
    <x v="1"/>
    <x v="2"/>
    <x v="0"/>
    <x v="0"/>
    <x v="22"/>
    <x v="3"/>
    <x v="12"/>
    <x v="1"/>
  </r>
  <r>
    <x v="2301"/>
    <x v="6"/>
    <x v="9"/>
    <n v="80.2"/>
    <x v="1711"/>
    <x v="84"/>
    <d v="2025-04-02T00:00:00"/>
    <x v="1"/>
    <x v="1"/>
    <x v="1"/>
    <x v="0"/>
    <x v="50"/>
    <x v="6"/>
    <x v="12"/>
    <x v="1"/>
  </r>
  <r>
    <x v="2302"/>
    <x v="4"/>
    <x v="0"/>
    <n v="41.5"/>
    <x v="1712"/>
    <x v="84"/>
    <d v="2025-03-28T00:00:00"/>
    <x v="1"/>
    <x v="2"/>
    <x v="0"/>
    <x v="0"/>
    <x v="3"/>
    <x v="1"/>
    <x v="12"/>
    <x v="1"/>
  </r>
  <r>
    <x v="2303"/>
    <x v="2"/>
    <x v="1"/>
    <n v="83.9"/>
    <x v="1713"/>
    <x v="84"/>
    <d v="2025-03-29T00:00:00"/>
    <x v="2"/>
    <x v="0"/>
    <x v="0"/>
    <x v="0"/>
    <x v="3"/>
    <x v="2"/>
    <x v="12"/>
    <x v="2"/>
  </r>
  <r>
    <x v="2304"/>
    <x v="8"/>
    <x v="1"/>
    <n v="16.7"/>
    <x v="1417"/>
    <x v="84"/>
    <d v="2025-03-30T00:00:00"/>
    <x v="2"/>
    <x v="0"/>
    <x v="1"/>
    <x v="0"/>
    <x v="3"/>
    <x v="5"/>
    <x v="12"/>
    <x v="2"/>
  </r>
  <r>
    <x v="2305"/>
    <x v="9"/>
    <x v="1"/>
    <n v="72.900000000000006"/>
    <x v="1626"/>
    <x v="84"/>
    <d v="2025-03-27T00:00:00"/>
    <x v="1"/>
    <x v="2"/>
    <x v="1"/>
    <x v="0"/>
    <x v="3"/>
    <x v="3"/>
    <x v="12"/>
    <x v="1"/>
  </r>
  <r>
    <x v="2306"/>
    <x v="5"/>
    <x v="1"/>
    <n v="50.2"/>
    <x v="862"/>
    <x v="84"/>
    <d v="2025-03-28T00:00:00"/>
    <x v="2"/>
    <x v="1"/>
    <x v="2"/>
    <x v="0"/>
    <x v="3"/>
    <x v="1"/>
    <x v="12"/>
    <x v="2"/>
  </r>
  <r>
    <x v="2307"/>
    <x v="3"/>
    <x v="1"/>
    <n v="34.200000000000003"/>
    <x v="1714"/>
    <x v="84"/>
    <d v="2025-04-05T00:00:00"/>
    <x v="0"/>
    <x v="1"/>
    <x v="0"/>
    <x v="0"/>
    <x v="3"/>
    <x v="14"/>
    <x v="12"/>
    <x v="0"/>
  </r>
  <r>
    <x v="2308"/>
    <x v="5"/>
    <x v="1"/>
    <n v="107.9"/>
    <x v="1715"/>
    <x v="84"/>
    <d v="2025-03-26T00:00:00"/>
    <x v="1"/>
    <x v="1"/>
    <x v="4"/>
    <x v="0"/>
    <x v="3"/>
    <x v="7"/>
    <x v="12"/>
    <x v="1"/>
  </r>
  <r>
    <x v="2309"/>
    <x v="0"/>
    <x v="2"/>
    <n v="17.5"/>
    <x v="413"/>
    <x v="84"/>
    <d v="2025-03-28T00:00:00"/>
    <x v="1"/>
    <x v="4"/>
    <x v="0"/>
    <x v="0"/>
    <x v="3"/>
    <x v="1"/>
    <x v="12"/>
    <x v="1"/>
  </r>
  <r>
    <x v="2310"/>
    <x v="13"/>
    <x v="20"/>
    <n v="44.7"/>
    <x v="1716"/>
    <x v="84"/>
    <d v="2025-03-27T00:00:00"/>
    <x v="1"/>
    <x v="0"/>
    <x v="1"/>
    <x v="0"/>
    <x v="3"/>
    <x v="3"/>
    <x v="12"/>
    <x v="1"/>
  </r>
  <r>
    <x v="2311"/>
    <x v="12"/>
    <x v="13"/>
    <n v="92.7"/>
    <x v="1717"/>
    <x v="84"/>
    <d v="2025-03-28T00:00:00"/>
    <x v="2"/>
    <x v="2"/>
    <x v="1"/>
    <x v="0"/>
    <x v="3"/>
    <x v="1"/>
    <x v="12"/>
    <x v="2"/>
  </r>
  <r>
    <x v="2312"/>
    <x v="7"/>
    <x v="2"/>
    <n v="48.8"/>
    <x v="1718"/>
    <x v="84"/>
    <d v="2025-03-28T00:00:00"/>
    <x v="2"/>
    <x v="2"/>
    <x v="0"/>
    <x v="0"/>
    <x v="3"/>
    <x v="1"/>
    <x v="12"/>
    <x v="2"/>
  </r>
  <r>
    <x v="2313"/>
    <x v="4"/>
    <x v="27"/>
    <n v="21.3"/>
    <x v="1153"/>
    <x v="84"/>
    <d v="2025-03-30T00:00:00"/>
    <x v="2"/>
    <x v="3"/>
    <x v="3"/>
    <x v="0"/>
    <x v="3"/>
    <x v="5"/>
    <x v="12"/>
    <x v="2"/>
  </r>
  <r>
    <x v="2314"/>
    <x v="16"/>
    <x v="0"/>
    <n v="52.5"/>
    <x v="413"/>
    <x v="84"/>
    <d v="2025-03-27T00:00:00"/>
    <x v="2"/>
    <x v="0"/>
    <x v="0"/>
    <x v="0"/>
    <x v="3"/>
    <x v="3"/>
    <x v="12"/>
    <x v="2"/>
  </r>
  <r>
    <x v="2315"/>
    <x v="1"/>
    <x v="1"/>
    <n v="92.4"/>
    <x v="827"/>
    <x v="84"/>
    <d v="2025-04-01T00:00:00"/>
    <x v="2"/>
    <x v="0"/>
    <x v="2"/>
    <x v="0"/>
    <x v="3"/>
    <x v="4"/>
    <x v="12"/>
    <x v="2"/>
  </r>
  <r>
    <x v="2316"/>
    <x v="4"/>
    <x v="5"/>
    <n v="58.3"/>
    <x v="1719"/>
    <x v="84"/>
    <d v="2025-03-28T00:00:00"/>
    <x v="1"/>
    <x v="1"/>
    <x v="2"/>
    <x v="0"/>
    <x v="3"/>
    <x v="1"/>
    <x v="12"/>
    <x v="1"/>
  </r>
  <r>
    <x v="2317"/>
    <x v="6"/>
    <x v="44"/>
    <n v="152.6"/>
    <x v="1720"/>
    <x v="85"/>
    <d v="2025-03-29T00:00:00"/>
    <x v="0"/>
    <x v="0"/>
    <x v="0"/>
    <x v="0"/>
    <x v="3"/>
    <x v="1"/>
    <x v="12"/>
    <x v="0"/>
  </r>
  <r>
    <x v="2318"/>
    <x v="8"/>
    <x v="1"/>
    <n v="26"/>
    <x v="1692"/>
    <x v="85"/>
    <d v="2025-03-27T00:00:00"/>
    <x v="0"/>
    <x v="0"/>
    <x v="1"/>
    <x v="0"/>
    <x v="3"/>
    <x v="7"/>
    <x v="12"/>
    <x v="0"/>
  </r>
  <r>
    <x v="2319"/>
    <x v="1"/>
    <x v="12"/>
    <n v="33.1"/>
    <x v="979"/>
    <x v="85"/>
    <d v="2025-03-27T00:00:00"/>
    <x v="1"/>
    <x v="2"/>
    <x v="4"/>
    <x v="0"/>
    <x v="5"/>
    <x v="7"/>
    <x v="12"/>
    <x v="1"/>
  </r>
  <r>
    <x v="2320"/>
    <x v="18"/>
    <x v="0"/>
    <n v="51.4"/>
    <x v="1045"/>
    <x v="85"/>
    <d v="2025-03-29T00:00:00"/>
    <x v="2"/>
    <x v="1"/>
    <x v="1"/>
    <x v="0"/>
    <x v="5"/>
    <x v="1"/>
    <x v="12"/>
    <x v="2"/>
  </r>
  <r>
    <x v="2321"/>
    <x v="8"/>
    <x v="1"/>
    <n v="30.2"/>
    <x v="266"/>
    <x v="85"/>
    <d v="2025-03-28T00:00:00"/>
    <x v="2"/>
    <x v="2"/>
    <x v="2"/>
    <x v="0"/>
    <x v="6"/>
    <x v="3"/>
    <x v="12"/>
    <x v="2"/>
  </r>
  <r>
    <x v="2322"/>
    <x v="2"/>
    <x v="13"/>
    <n v="97"/>
    <x v="1544"/>
    <x v="85"/>
    <d v="2025-03-31T00:00:00"/>
    <x v="2"/>
    <x v="0"/>
    <x v="2"/>
    <x v="0"/>
    <x v="7"/>
    <x v="5"/>
    <x v="12"/>
    <x v="2"/>
  </r>
  <r>
    <x v="2323"/>
    <x v="2"/>
    <x v="0"/>
    <n v="76.900000000000006"/>
    <x v="1721"/>
    <x v="85"/>
    <d v="2025-03-28T00:00:00"/>
    <x v="1"/>
    <x v="1"/>
    <x v="2"/>
    <x v="0"/>
    <x v="8"/>
    <x v="3"/>
    <x v="12"/>
    <x v="1"/>
  </r>
  <r>
    <x v="2324"/>
    <x v="7"/>
    <x v="13"/>
    <n v="36.1"/>
    <x v="1722"/>
    <x v="85"/>
    <d v="2025-03-31T00:00:00"/>
    <x v="2"/>
    <x v="0"/>
    <x v="0"/>
    <x v="0"/>
    <x v="8"/>
    <x v="5"/>
    <x v="12"/>
    <x v="2"/>
  </r>
  <r>
    <x v="2325"/>
    <x v="1"/>
    <x v="3"/>
    <n v="34.4"/>
    <x v="1723"/>
    <x v="85"/>
    <d v="2025-03-27T00:00:00"/>
    <x v="2"/>
    <x v="2"/>
    <x v="1"/>
    <x v="0"/>
    <x v="11"/>
    <x v="7"/>
    <x v="12"/>
    <x v="2"/>
  </r>
  <r>
    <x v="2326"/>
    <x v="1"/>
    <x v="31"/>
    <n v="53.4"/>
    <x v="1724"/>
    <x v="85"/>
    <d v="2025-03-29T00:00:00"/>
    <x v="2"/>
    <x v="1"/>
    <x v="0"/>
    <x v="0"/>
    <x v="18"/>
    <x v="1"/>
    <x v="12"/>
    <x v="2"/>
  </r>
  <r>
    <x v="2327"/>
    <x v="2"/>
    <x v="0"/>
    <n v="77.599999999999994"/>
    <x v="1598"/>
    <x v="85"/>
    <d v="2025-03-28T00:00:00"/>
    <x v="2"/>
    <x v="0"/>
    <x v="1"/>
    <x v="0"/>
    <x v="19"/>
    <x v="3"/>
    <x v="12"/>
    <x v="2"/>
  </r>
  <r>
    <x v="2328"/>
    <x v="1"/>
    <x v="2"/>
    <n v="71.7"/>
    <x v="1725"/>
    <x v="85"/>
    <d v="2025-03-30T00:00:00"/>
    <x v="2"/>
    <x v="1"/>
    <x v="0"/>
    <x v="0"/>
    <x v="19"/>
    <x v="2"/>
    <x v="12"/>
    <x v="2"/>
  </r>
  <r>
    <x v="2329"/>
    <x v="3"/>
    <x v="2"/>
    <n v="80.599999999999994"/>
    <x v="1726"/>
    <x v="85"/>
    <d v="2025-03-28T00:00:00"/>
    <x v="1"/>
    <x v="4"/>
    <x v="1"/>
    <x v="0"/>
    <x v="19"/>
    <x v="3"/>
    <x v="12"/>
    <x v="1"/>
  </r>
  <r>
    <x v="2330"/>
    <x v="1"/>
    <x v="20"/>
    <n v="70"/>
    <x v="1727"/>
    <x v="85"/>
    <d v="2025-03-29T00:00:00"/>
    <x v="1"/>
    <x v="0"/>
    <x v="0"/>
    <x v="0"/>
    <x v="20"/>
    <x v="1"/>
    <x v="12"/>
    <x v="1"/>
  </r>
  <r>
    <x v="2331"/>
    <x v="4"/>
    <x v="13"/>
    <n v="27.3"/>
    <x v="1728"/>
    <x v="85"/>
    <d v="2025-03-29T00:00:00"/>
    <x v="2"/>
    <x v="1"/>
    <x v="1"/>
    <x v="0"/>
    <x v="2"/>
    <x v="1"/>
    <x v="12"/>
    <x v="2"/>
  </r>
  <r>
    <x v="2332"/>
    <x v="8"/>
    <x v="21"/>
    <n v="37.6"/>
    <x v="1729"/>
    <x v="85"/>
    <d v="2025-03-29T00:00:00"/>
    <x v="1"/>
    <x v="1"/>
    <x v="0"/>
    <x v="0"/>
    <x v="3"/>
    <x v="1"/>
    <x v="12"/>
    <x v="1"/>
  </r>
  <r>
    <x v="2333"/>
    <x v="5"/>
    <x v="2"/>
    <n v="36.6"/>
    <x v="17"/>
    <x v="85"/>
    <d v="2025-03-29T00:00:00"/>
    <x v="2"/>
    <x v="4"/>
    <x v="0"/>
    <x v="0"/>
    <x v="3"/>
    <x v="1"/>
    <x v="12"/>
    <x v="2"/>
  </r>
  <r>
    <x v="2334"/>
    <x v="13"/>
    <x v="0"/>
    <n v="55.2"/>
    <x v="291"/>
    <x v="85"/>
    <d v="2025-03-29T00:00:00"/>
    <x v="1"/>
    <x v="3"/>
    <x v="0"/>
    <x v="0"/>
    <x v="3"/>
    <x v="1"/>
    <x v="12"/>
    <x v="1"/>
  </r>
  <r>
    <x v="2335"/>
    <x v="6"/>
    <x v="9"/>
    <n v="59.9"/>
    <x v="1444"/>
    <x v="85"/>
    <d v="2025-03-29T00:00:00"/>
    <x v="1"/>
    <x v="0"/>
    <x v="0"/>
    <x v="0"/>
    <x v="3"/>
    <x v="1"/>
    <x v="12"/>
    <x v="1"/>
  </r>
  <r>
    <x v="2336"/>
    <x v="6"/>
    <x v="0"/>
    <n v="44"/>
    <x v="945"/>
    <x v="85"/>
    <d v="2025-03-28T00:00:00"/>
    <x v="2"/>
    <x v="2"/>
    <x v="2"/>
    <x v="0"/>
    <x v="3"/>
    <x v="3"/>
    <x v="12"/>
    <x v="2"/>
  </r>
  <r>
    <x v="2337"/>
    <x v="9"/>
    <x v="1"/>
    <n v="68.7"/>
    <x v="1730"/>
    <x v="85"/>
    <d v="2025-03-27T00:00:00"/>
    <x v="1"/>
    <x v="0"/>
    <x v="0"/>
    <x v="0"/>
    <x v="3"/>
    <x v="7"/>
    <x v="12"/>
    <x v="1"/>
  </r>
  <r>
    <x v="2338"/>
    <x v="5"/>
    <x v="1"/>
    <n v="61.6"/>
    <x v="1432"/>
    <x v="85"/>
    <d v="2025-03-31T00:00:00"/>
    <x v="1"/>
    <x v="3"/>
    <x v="1"/>
    <x v="0"/>
    <x v="3"/>
    <x v="5"/>
    <x v="12"/>
    <x v="1"/>
  </r>
  <r>
    <x v="2339"/>
    <x v="7"/>
    <x v="3"/>
    <n v="51.8"/>
    <x v="1731"/>
    <x v="85"/>
    <d v="2025-03-28T00:00:00"/>
    <x v="1"/>
    <x v="0"/>
    <x v="0"/>
    <x v="0"/>
    <x v="3"/>
    <x v="3"/>
    <x v="12"/>
    <x v="1"/>
  </r>
  <r>
    <x v="2340"/>
    <x v="8"/>
    <x v="7"/>
    <n v="46.2"/>
    <x v="1236"/>
    <x v="85"/>
    <d v="2025-03-29T00:00:00"/>
    <x v="1"/>
    <x v="1"/>
    <x v="2"/>
    <x v="0"/>
    <x v="3"/>
    <x v="1"/>
    <x v="12"/>
    <x v="1"/>
  </r>
  <r>
    <x v="2341"/>
    <x v="0"/>
    <x v="1"/>
    <n v="19.399999999999999"/>
    <x v="1732"/>
    <x v="85"/>
    <d v="2025-03-29T00:00:00"/>
    <x v="2"/>
    <x v="1"/>
    <x v="2"/>
    <x v="0"/>
    <x v="6"/>
    <x v="1"/>
    <x v="12"/>
    <x v="2"/>
  </r>
  <r>
    <x v="2342"/>
    <x v="11"/>
    <x v="2"/>
    <n v="52.1"/>
    <x v="1733"/>
    <x v="85"/>
    <d v="2025-03-30T00:00:00"/>
    <x v="1"/>
    <x v="3"/>
    <x v="3"/>
    <x v="0"/>
    <x v="6"/>
    <x v="2"/>
    <x v="12"/>
    <x v="1"/>
  </r>
  <r>
    <x v="2343"/>
    <x v="6"/>
    <x v="0"/>
    <n v="74.900000000000006"/>
    <x v="1734"/>
    <x v="85"/>
    <d v="2025-03-29T00:00:00"/>
    <x v="3"/>
    <x v="0"/>
    <x v="0"/>
    <x v="0"/>
    <x v="7"/>
    <x v="1"/>
    <x v="12"/>
    <x v="3"/>
  </r>
  <r>
    <x v="2344"/>
    <x v="9"/>
    <x v="3"/>
    <n v="49.6"/>
    <x v="1735"/>
    <x v="85"/>
    <d v="2025-03-30T00:00:00"/>
    <x v="2"/>
    <x v="4"/>
    <x v="0"/>
    <x v="0"/>
    <x v="8"/>
    <x v="2"/>
    <x v="12"/>
    <x v="2"/>
  </r>
  <r>
    <x v="2345"/>
    <x v="16"/>
    <x v="12"/>
    <n v="82.8"/>
    <x v="1736"/>
    <x v="86"/>
    <d v="2025-03-31T00:00:00"/>
    <x v="2"/>
    <x v="4"/>
    <x v="0"/>
    <x v="0"/>
    <x v="8"/>
    <x v="2"/>
    <x v="12"/>
    <x v="2"/>
  </r>
  <r>
    <x v="2346"/>
    <x v="2"/>
    <x v="0"/>
    <n v="97.7"/>
    <x v="68"/>
    <x v="86"/>
    <d v="2025-03-29T00:00:00"/>
    <x v="2"/>
    <x v="1"/>
    <x v="0"/>
    <x v="0"/>
    <x v="8"/>
    <x v="3"/>
    <x v="12"/>
    <x v="2"/>
  </r>
  <r>
    <x v="2347"/>
    <x v="6"/>
    <x v="9"/>
    <n v="83.6"/>
    <x v="378"/>
    <x v="86"/>
    <d v="2025-03-29T00:00:00"/>
    <x v="2"/>
    <x v="4"/>
    <x v="0"/>
    <x v="0"/>
    <x v="8"/>
    <x v="3"/>
    <x v="12"/>
    <x v="2"/>
  </r>
  <r>
    <x v="2348"/>
    <x v="8"/>
    <x v="9"/>
    <n v="23.5"/>
    <x v="1737"/>
    <x v="86"/>
    <d v="2025-04-01T00:00:00"/>
    <x v="3"/>
    <x v="0"/>
    <x v="0"/>
    <x v="0"/>
    <x v="8"/>
    <x v="5"/>
    <x v="12"/>
    <x v="3"/>
  </r>
  <r>
    <x v="2349"/>
    <x v="9"/>
    <x v="2"/>
    <n v="44.6"/>
    <x v="981"/>
    <x v="86"/>
    <d v="2025-03-31T00:00:00"/>
    <x v="2"/>
    <x v="4"/>
    <x v="1"/>
    <x v="0"/>
    <x v="26"/>
    <x v="2"/>
    <x v="12"/>
    <x v="2"/>
  </r>
  <r>
    <x v="2350"/>
    <x v="0"/>
    <x v="2"/>
    <n v="20.100000000000001"/>
    <x v="1738"/>
    <x v="86"/>
    <d v="2025-03-30T00:00:00"/>
    <x v="2"/>
    <x v="3"/>
    <x v="4"/>
    <x v="0"/>
    <x v="11"/>
    <x v="1"/>
    <x v="12"/>
    <x v="2"/>
  </r>
  <r>
    <x v="2351"/>
    <x v="2"/>
    <x v="9"/>
    <n v="153.6"/>
    <x v="1739"/>
    <x v="86"/>
    <d v="2025-03-29T00:00:00"/>
    <x v="2"/>
    <x v="1"/>
    <x v="2"/>
    <x v="0"/>
    <x v="53"/>
    <x v="3"/>
    <x v="12"/>
    <x v="2"/>
  </r>
  <r>
    <x v="2352"/>
    <x v="1"/>
    <x v="1"/>
    <n v="71.8"/>
    <x v="897"/>
    <x v="86"/>
    <d v="2025-04-01T00:00:00"/>
    <x v="2"/>
    <x v="1"/>
    <x v="0"/>
    <x v="0"/>
    <x v="1"/>
    <x v="5"/>
    <x v="12"/>
    <x v="2"/>
  </r>
  <r>
    <x v="2353"/>
    <x v="10"/>
    <x v="0"/>
    <n v="64.7"/>
    <x v="1740"/>
    <x v="86"/>
    <d v="2025-03-30T00:00:00"/>
    <x v="0"/>
    <x v="0"/>
    <x v="1"/>
    <x v="0"/>
    <x v="1"/>
    <x v="1"/>
    <x v="12"/>
    <x v="0"/>
  </r>
  <r>
    <x v="2354"/>
    <x v="9"/>
    <x v="8"/>
    <n v="60.4"/>
    <x v="1741"/>
    <x v="86"/>
    <d v="2025-03-30T00:00:00"/>
    <x v="2"/>
    <x v="3"/>
    <x v="2"/>
    <x v="0"/>
    <x v="2"/>
    <x v="1"/>
    <x v="12"/>
    <x v="2"/>
  </r>
  <r>
    <x v="2355"/>
    <x v="6"/>
    <x v="12"/>
    <n v="86"/>
    <x v="1213"/>
    <x v="86"/>
    <d v="2025-03-31T00:00:00"/>
    <x v="2"/>
    <x v="2"/>
    <x v="2"/>
    <x v="0"/>
    <x v="22"/>
    <x v="2"/>
    <x v="12"/>
    <x v="2"/>
  </r>
  <r>
    <x v="2356"/>
    <x v="12"/>
    <x v="1"/>
    <n v="42.1"/>
    <x v="903"/>
    <x v="86"/>
    <d v="2025-03-29T00:00:00"/>
    <x v="2"/>
    <x v="4"/>
    <x v="1"/>
    <x v="0"/>
    <x v="34"/>
    <x v="3"/>
    <x v="12"/>
    <x v="2"/>
  </r>
  <r>
    <x v="2357"/>
    <x v="16"/>
    <x v="11"/>
    <n v="51.1"/>
    <x v="1742"/>
    <x v="86"/>
    <d v="2025-03-29T00:00:00"/>
    <x v="1"/>
    <x v="2"/>
    <x v="1"/>
    <x v="0"/>
    <x v="3"/>
    <x v="3"/>
    <x v="12"/>
    <x v="1"/>
  </r>
  <r>
    <x v="2358"/>
    <x v="9"/>
    <x v="12"/>
    <n v="73.8"/>
    <x v="1743"/>
    <x v="86"/>
    <d v="2025-03-29T00:00:00"/>
    <x v="1"/>
    <x v="4"/>
    <x v="0"/>
    <x v="0"/>
    <x v="3"/>
    <x v="3"/>
    <x v="12"/>
    <x v="1"/>
  </r>
  <r>
    <x v="2359"/>
    <x v="8"/>
    <x v="9"/>
    <n v="27"/>
    <x v="340"/>
    <x v="86"/>
    <d v="2025-03-31T00:00:00"/>
    <x v="2"/>
    <x v="2"/>
    <x v="2"/>
    <x v="0"/>
    <x v="3"/>
    <x v="2"/>
    <x v="12"/>
    <x v="2"/>
  </r>
  <r>
    <x v="2360"/>
    <x v="8"/>
    <x v="13"/>
    <n v="60.1"/>
    <x v="116"/>
    <x v="86"/>
    <d v="2025-03-29T00:00:00"/>
    <x v="1"/>
    <x v="3"/>
    <x v="0"/>
    <x v="0"/>
    <x v="3"/>
    <x v="3"/>
    <x v="12"/>
    <x v="1"/>
  </r>
  <r>
    <x v="2361"/>
    <x v="2"/>
    <x v="3"/>
    <n v="94.1"/>
    <x v="1744"/>
    <x v="86"/>
    <d v="2025-03-30T00:00:00"/>
    <x v="2"/>
    <x v="4"/>
    <x v="1"/>
    <x v="0"/>
    <x v="3"/>
    <x v="1"/>
    <x v="12"/>
    <x v="2"/>
  </r>
  <r>
    <x v="2362"/>
    <x v="2"/>
    <x v="1"/>
    <n v="124.1"/>
    <x v="1235"/>
    <x v="86"/>
    <d v="2025-03-28T00:00:00"/>
    <x v="2"/>
    <x v="2"/>
    <x v="3"/>
    <x v="0"/>
    <x v="43"/>
    <x v="7"/>
    <x v="12"/>
    <x v="2"/>
  </r>
  <r>
    <x v="2363"/>
    <x v="8"/>
    <x v="12"/>
    <n v="16.899999999999999"/>
    <x v="821"/>
    <x v="86"/>
    <d v="2025-03-31T00:00:00"/>
    <x v="1"/>
    <x v="3"/>
    <x v="0"/>
    <x v="0"/>
    <x v="6"/>
    <x v="2"/>
    <x v="12"/>
    <x v="1"/>
  </r>
  <r>
    <x v="2364"/>
    <x v="1"/>
    <x v="0"/>
    <n v="36.9"/>
    <x v="1745"/>
    <x v="86"/>
    <d v="2025-03-29T00:00:00"/>
    <x v="1"/>
    <x v="0"/>
    <x v="0"/>
    <x v="0"/>
    <x v="6"/>
    <x v="3"/>
    <x v="12"/>
    <x v="1"/>
  </r>
  <r>
    <x v="2365"/>
    <x v="9"/>
    <x v="1"/>
    <n v="22.6"/>
    <x v="705"/>
    <x v="86"/>
    <d v="2025-04-10T00:00:00"/>
    <x v="2"/>
    <x v="2"/>
    <x v="1"/>
    <x v="0"/>
    <x v="8"/>
    <x v="10"/>
    <x v="12"/>
    <x v="2"/>
  </r>
  <r>
    <x v="2366"/>
    <x v="7"/>
    <x v="12"/>
    <n v="35"/>
    <x v="1683"/>
    <x v="86"/>
    <d v="2025-04-02T00:00:00"/>
    <x v="1"/>
    <x v="3"/>
    <x v="1"/>
    <x v="0"/>
    <x v="8"/>
    <x v="0"/>
    <x v="12"/>
    <x v="1"/>
  </r>
  <r>
    <x v="2367"/>
    <x v="9"/>
    <x v="13"/>
    <n v="63.6"/>
    <x v="1746"/>
    <x v="86"/>
    <d v="2025-04-04T00:00:00"/>
    <x v="0"/>
    <x v="1"/>
    <x v="2"/>
    <x v="0"/>
    <x v="8"/>
    <x v="6"/>
    <x v="12"/>
    <x v="0"/>
  </r>
  <r>
    <x v="2368"/>
    <x v="15"/>
    <x v="12"/>
    <n v="78.599999999999994"/>
    <x v="1747"/>
    <x v="86"/>
    <d v="2025-03-29T00:00:00"/>
    <x v="1"/>
    <x v="4"/>
    <x v="1"/>
    <x v="0"/>
    <x v="8"/>
    <x v="3"/>
    <x v="12"/>
    <x v="1"/>
  </r>
  <r>
    <x v="2369"/>
    <x v="3"/>
    <x v="1"/>
    <n v="38.5"/>
    <x v="445"/>
    <x v="86"/>
    <d v="2025-03-29T00:00:00"/>
    <x v="1"/>
    <x v="0"/>
    <x v="2"/>
    <x v="0"/>
    <x v="8"/>
    <x v="3"/>
    <x v="12"/>
    <x v="1"/>
  </r>
  <r>
    <x v="2370"/>
    <x v="8"/>
    <x v="5"/>
    <n v="71.5"/>
    <x v="1748"/>
    <x v="86"/>
    <d v="2025-03-29T00:00:00"/>
    <x v="2"/>
    <x v="1"/>
    <x v="4"/>
    <x v="0"/>
    <x v="8"/>
    <x v="3"/>
    <x v="12"/>
    <x v="2"/>
  </r>
  <r>
    <x v="2371"/>
    <x v="6"/>
    <x v="12"/>
    <n v="121.4"/>
    <x v="1749"/>
    <x v="86"/>
    <d v="2025-04-01T00:00:00"/>
    <x v="1"/>
    <x v="1"/>
    <x v="2"/>
    <x v="0"/>
    <x v="17"/>
    <x v="5"/>
    <x v="12"/>
    <x v="1"/>
  </r>
  <r>
    <x v="2372"/>
    <x v="11"/>
    <x v="0"/>
    <n v="40.200000000000003"/>
    <x v="282"/>
    <x v="86"/>
    <d v="2025-03-31T00:00:00"/>
    <x v="2"/>
    <x v="0"/>
    <x v="2"/>
    <x v="0"/>
    <x v="11"/>
    <x v="2"/>
    <x v="12"/>
    <x v="2"/>
  </r>
  <r>
    <x v="2373"/>
    <x v="5"/>
    <x v="9"/>
    <n v="31.9"/>
    <x v="1750"/>
    <x v="86"/>
    <d v="2025-03-30T00:00:00"/>
    <x v="2"/>
    <x v="2"/>
    <x v="2"/>
    <x v="0"/>
    <x v="28"/>
    <x v="1"/>
    <x v="12"/>
    <x v="2"/>
  </r>
  <r>
    <x v="2374"/>
    <x v="14"/>
    <x v="9"/>
    <n v="15.8"/>
    <x v="1751"/>
    <x v="87"/>
    <d v="2025-03-30T00:00:00"/>
    <x v="1"/>
    <x v="3"/>
    <x v="2"/>
    <x v="0"/>
    <x v="21"/>
    <x v="3"/>
    <x v="12"/>
    <x v="1"/>
  </r>
  <r>
    <x v="2375"/>
    <x v="10"/>
    <x v="1"/>
    <n v="25.1"/>
    <x v="486"/>
    <x v="87"/>
    <d v="2025-03-31T00:00:00"/>
    <x v="0"/>
    <x v="1"/>
    <x v="0"/>
    <x v="0"/>
    <x v="21"/>
    <x v="1"/>
    <x v="12"/>
    <x v="0"/>
  </r>
  <r>
    <x v="2376"/>
    <x v="1"/>
    <x v="44"/>
    <n v="38.1"/>
    <x v="1752"/>
    <x v="87"/>
    <d v="2025-03-30T00:00:00"/>
    <x v="2"/>
    <x v="4"/>
    <x v="0"/>
    <x v="0"/>
    <x v="1"/>
    <x v="3"/>
    <x v="12"/>
    <x v="2"/>
  </r>
  <r>
    <x v="2377"/>
    <x v="3"/>
    <x v="1"/>
    <n v="42.2"/>
    <x v="533"/>
    <x v="87"/>
    <d v="2025-03-31T00:00:00"/>
    <x v="2"/>
    <x v="0"/>
    <x v="2"/>
    <x v="0"/>
    <x v="1"/>
    <x v="1"/>
    <x v="12"/>
    <x v="2"/>
  </r>
  <r>
    <x v="2378"/>
    <x v="0"/>
    <x v="7"/>
    <n v="12.3"/>
    <x v="1287"/>
    <x v="87"/>
    <d v="2025-03-30T00:00:00"/>
    <x v="2"/>
    <x v="4"/>
    <x v="0"/>
    <x v="0"/>
    <x v="2"/>
    <x v="3"/>
    <x v="12"/>
    <x v="2"/>
  </r>
  <r>
    <x v="2379"/>
    <x v="7"/>
    <x v="0"/>
    <n v="30.2"/>
    <x v="242"/>
    <x v="87"/>
    <d v="2025-03-31T00:00:00"/>
    <x v="2"/>
    <x v="1"/>
    <x v="2"/>
    <x v="0"/>
    <x v="34"/>
    <x v="1"/>
    <x v="12"/>
    <x v="2"/>
  </r>
  <r>
    <x v="2380"/>
    <x v="5"/>
    <x v="2"/>
    <n v="25.3"/>
    <x v="1554"/>
    <x v="87"/>
    <d v="2025-04-01T00:00:00"/>
    <x v="2"/>
    <x v="2"/>
    <x v="0"/>
    <x v="0"/>
    <x v="3"/>
    <x v="2"/>
    <x v="12"/>
    <x v="2"/>
  </r>
  <r>
    <x v="2381"/>
    <x v="8"/>
    <x v="9"/>
    <n v="29.7"/>
    <x v="1753"/>
    <x v="87"/>
    <d v="2025-03-31T00:00:00"/>
    <x v="1"/>
    <x v="3"/>
    <x v="0"/>
    <x v="0"/>
    <x v="3"/>
    <x v="1"/>
    <x v="12"/>
    <x v="1"/>
  </r>
  <r>
    <x v="2382"/>
    <x v="9"/>
    <x v="8"/>
    <n v="32.9"/>
    <x v="1754"/>
    <x v="87"/>
    <d v="2025-03-30T00:00:00"/>
    <x v="0"/>
    <x v="3"/>
    <x v="2"/>
    <x v="0"/>
    <x v="3"/>
    <x v="3"/>
    <x v="12"/>
    <x v="0"/>
  </r>
  <r>
    <x v="2383"/>
    <x v="10"/>
    <x v="1"/>
    <n v="43.6"/>
    <x v="640"/>
    <x v="87"/>
    <d v="2025-03-30T00:00:00"/>
    <x v="1"/>
    <x v="1"/>
    <x v="2"/>
    <x v="0"/>
    <x v="3"/>
    <x v="3"/>
    <x v="12"/>
    <x v="1"/>
  </r>
  <r>
    <x v="2384"/>
    <x v="15"/>
    <x v="12"/>
    <n v="78.400000000000006"/>
    <x v="1755"/>
    <x v="87"/>
    <d v="2025-03-30T00:00:00"/>
    <x v="1"/>
    <x v="2"/>
    <x v="0"/>
    <x v="0"/>
    <x v="3"/>
    <x v="3"/>
    <x v="12"/>
    <x v="1"/>
  </r>
  <r>
    <x v="2385"/>
    <x v="6"/>
    <x v="1"/>
    <n v="56.5"/>
    <x v="548"/>
    <x v="87"/>
    <d v="2025-04-02T00:00:00"/>
    <x v="1"/>
    <x v="1"/>
    <x v="1"/>
    <x v="0"/>
    <x v="3"/>
    <x v="5"/>
    <x v="12"/>
    <x v="1"/>
  </r>
  <r>
    <x v="2386"/>
    <x v="16"/>
    <x v="0"/>
    <n v="36.700000000000003"/>
    <x v="329"/>
    <x v="87"/>
    <d v="2025-03-30T00:00:00"/>
    <x v="2"/>
    <x v="0"/>
    <x v="2"/>
    <x v="0"/>
    <x v="3"/>
    <x v="3"/>
    <x v="12"/>
    <x v="2"/>
  </r>
  <r>
    <x v="2387"/>
    <x v="2"/>
    <x v="12"/>
    <n v="103.6"/>
    <x v="1756"/>
    <x v="87"/>
    <d v="2025-04-09T00:00:00"/>
    <x v="1"/>
    <x v="4"/>
    <x v="2"/>
    <x v="0"/>
    <x v="3"/>
    <x v="11"/>
    <x v="12"/>
    <x v="1"/>
  </r>
  <r>
    <x v="2388"/>
    <x v="8"/>
    <x v="13"/>
    <n v="16.2"/>
    <x v="1757"/>
    <x v="87"/>
    <d v="2025-04-02T00:00:00"/>
    <x v="1"/>
    <x v="1"/>
    <x v="2"/>
    <x v="0"/>
    <x v="6"/>
    <x v="5"/>
    <x v="12"/>
    <x v="1"/>
  </r>
  <r>
    <x v="2389"/>
    <x v="8"/>
    <x v="1"/>
    <n v="20.2"/>
    <x v="1400"/>
    <x v="87"/>
    <d v="2025-03-30T00:00:00"/>
    <x v="2"/>
    <x v="0"/>
    <x v="0"/>
    <x v="0"/>
    <x v="6"/>
    <x v="3"/>
    <x v="12"/>
    <x v="2"/>
  </r>
  <r>
    <x v="2390"/>
    <x v="11"/>
    <x v="1"/>
    <n v="26.9"/>
    <x v="1758"/>
    <x v="87"/>
    <d v="2025-03-31T00:00:00"/>
    <x v="2"/>
    <x v="2"/>
    <x v="0"/>
    <x v="0"/>
    <x v="6"/>
    <x v="1"/>
    <x v="12"/>
    <x v="2"/>
  </r>
  <r>
    <x v="2391"/>
    <x v="1"/>
    <x v="1"/>
    <n v="82.4"/>
    <x v="1759"/>
    <x v="87"/>
    <d v="2025-04-01T00:00:00"/>
    <x v="0"/>
    <x v="0"/>
    <x v="0"/>
    <x v="0"/>
    <x v="7"/>
    <x v="2"/>
    <x v="12"/>
    <x v="0"/>
  </r>
  <r>
    <x v="2392"/>
    <x v="2"/>
    <x v="1"/>
    <n v="117.8"/>
    <x v="1760"/>
    <x v="87"/>
    <d v="2025-03-31T00:00:00"/>
    <x v="1"/>
    <x v="1"/>
    <x v="2"/>
    <x v="0"/>
    <x v="8"/>
    <x v="1"/>
    <x v="12"/>
    <x v="1"/>
  </r>
  <r>
    <x v="2393"/>
    <x v="11"/>
    <x v="12"/>
    <n v="36.700000000000003"/>
    <x v="1761"/>
    <x v="87"/>
    <d v="2025-03-30T00:00:00"/>
    <x v="1"/>
    <x v="1"/>
    <x v="0"/>
    <x v="0"/>
    <x v="8"/>
    <x v="3"/>
    <x v="12"/>
    <x v="1"/>
  </r>
  <r>
    <x v="2394"/>
    <x v="17"/>
    <x v="2"/>
    <n v="46.8"/>
    <x v="1762"/>
    <x v="87"/>
    <d v="2025-03-30T00:00:00"/>
    <x v="1"/>
    <x v="4"/>
    <x v="2"/>
    <x v="0"/>
    <x v="10"/>
    <x v="3"/>
    <x v="12"/>
    <x v="1"/>
  </r>
  <r>
    <x v="2395"/>
    <x v="3"/>
    <x v="0"/>
    <n v="61.4"/>
    <x v="886"/>
    <x v="87"/>
    <d v="2025-03-30T00:00:00"/>
    <x v="1"/>
    <x v="1"/>
    <x v="0"/>
    <x v="0"/>
    <x v="10"/>
    <x v="3"/>
    <x v="12"/>
    <x v="1"/>
  </r>
  <r>
    <x v="2396"/>
    <x v="15"/>
    <x v="1"/>
    <n v="22.9"/>
    <x v="494"/>
    <x v="87"/>
    <d v="2025-03-30T00:00:00"/>
    <x v="1"/>
    <x v="0"/>
    <x v="0"/>
    <x v="0"/>
    <x v="11"/>
    <x v="3"/>
    <x v="12"/>
    <x v="1"/>
  </r>
  <r>
    <x v="2397"/>
    <x v="10"/>
    <x v="1"/>
    <n v="22.1"/>
    <x v="573"/>
    <x v="87"/>
    <d v="2025-03-30T00:00:00"/>
    <x v="2"/>
    <x v="4"/>
    <x v="0"/>
    <x v="0"/>
    <x v="11"/>
    <x v="3"/>
    <x v="12"/>
    <x v="2"/>
  </r>
  <r>
    <x v="2398"/>
    <x v="12"/>
    <x v="1"/>
    <n v="31"/>
    <x v="85"/>
    <x v="87"/>
    <d v="2025-03-31T00:00:00"/>
    <x v="2"/>
    <x v="2"/>
    <x v="0"/>
    <x v="0"/>
    <x v="18"/>
    <x v="1"/>
    <x v="12"/>
    <x v="2"/>
  </r>
  <r>
    <x v="2399"/>
    <x v="18"/>
    <x v="1"/>
    <n v="84.2"/>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0D53BB-0848-49C4-80D1-D8F36F71E175}"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8:C22"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6">
      <pivotArea dataOnly="0" labelOnly="1" outline="0" fieldPosition="0">
        <references count="1">
          <reference field="4294967294" count="2">
            <x v="0"/>
            <x v="1"/>
          </reference>
        </references>
      </pivotArea>
    </format>
    <format dxfId="5">
      <pivotArea outline="0" fieldPosition="0">
        <references count="1">
          <reference field="4294967294" count="1">
            <x v="1"/>
          </reference>
        </references>
      </pivotArea>
    </format>
  </formats>
  <chartFormats count="4">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9410FF-D6E1-454C-9B2F-F0B2EEB02A88}"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numFmtId="1"/>
    <dataField name="Average of Rating C" fld="9" subtotal="average" baseField="0" baseItem="0"/>
    <dataField name="Average of Days to Deliver" fld="12" subtotal="average" baseField="0" baseItem="0"/>
  </dataFields>
  <formats count="2">
    <format dxfId="8">
      <pivotArea dataOnly="0" labelOnly="1" outline="0" fieldPosition="0">
        <references count="1">
          <reference field="4294967294" count="5">
            <x v="0"/>
            <x v="1"/>
            <x v="2"/>
            <x v="3"/>
            <x v="4"/>
          </reference>
        </references>
      </pivotArea>
    </format>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C4BA96-51B2-404B-91F2-0FB5FBC5C34B}"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D4E17-D60F-445C-9165-8DC161EADCF7}"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h="1" x="2"/>
        <item x="1"/>
        <item h="1" x="3"/>
        <item h="1" x="0"/>
        <item t="default"/>
      </items>
    </pivotField>
    <pivotField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CB319-8ED4-48B3-94EE-D3C4049170D5}"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B3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3">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2">
          <reference field="4294967294" count="1" selected="0">
            <x v="0"/>
          </reference>
          <reference field="14" count="1" selected="0">
            <x v="0"/>
          </reference>
        </references>
      </pivotArea>
    </chartFormat>
    <chartFormat chart="3" format="13" series="1">
      <pivotArea type="data" outline="0" fieldPosition="0">
        <references count="2">
          <reference field="4294967294" count="1" selected="0">
            <x v="0"/>
          </reference>
          <reference field="14" count="1" selected="0">
            <x v="1"/>
          </reference>
        </references>
      </pivotArea>
    </chartFormat>
    <chartFormat chart="3" format="14" series="1">
      <pivotArea type="data" outline="0" fieldPosition="0">
        <references count="2">
          <reference field="4294967294" count="1" selected="0">
            <x v="0"/>
          </reference>
          <reference field="14" count="1" selected="0">
            <x v="2"/>
          </reference>
        </references>
      </pivotArea>
    </chartFormat>
    <chartFormat chart="3" format="15" series="1">
      <pivotArea type="data" outline="0" fieldPosition="0">
        <references count="2">
          <reference field="4294967294" count="1" selected="0">
            <x v="0"/>
          </reference>
          <reference field="14" count="1" selected="0">
            <x v="3"/>
          </reference>
        </references>
      </pivotArea>
    </chartFormat>
    <chartFormat chart="1" format="8" series="1">
      <pivotArea type="data" outline="0" fieldPosition="0">
        <references count="2">
          <reference field="4294967294" count="1" selected="0">
            <x v="0"/>
          </reference>
          <reference field="1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3"/>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E9137-9738-4935-9FCB-37A13BB2415D}"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h="1" x="2"/>
        <item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5"/>
    </i>
    <i>
      <x v="16"/>
    </i>
    <i>
      <x v="1"/>
    </i>
    <i>
      <x v="12"/>
    </i>
    <i>
      <x v="11"/>
    </i>
    <i>
      <x v="3"/>
    </i>
    <i>
      <x v="14"/>
    </i>
    <i>
      <x v="4"/>
    </i>
    <i>
      <x v="8"/>
    </i>
    <i>
      <x v="10"/>
    </i>
    <i>
      <x v="17"/>
    </i>
    <i>
      <x v="19"/>
    </i>
    <i>
      <x v="2"/>
    </i>
    <i>
      <x/>
    </i>
    <i>
      <x v="9"/>
    </i>
    <i>
      <x v="15"/>
    </i>
    <i>
      <x v="7"/>
    </i>
    <i t="grand">
      <x/>
    </i>
  </rowItems>
  <colFields count="1">
    <field x="14"/>
  </colFields>
  <colItems count="2">
    <i>
      <x v="1"/>
    </i>
    <i t="grand">
      <x/>
    </i>
  </colItems>
  <dataFields count="1">
    <dataField name="Sum of Quantity" fld="2" baseField="0" baseItem="0"/>
  </dataFields>
  <chartFormats count="13">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2">
          <reference field="4294967294" count="1" selected="0">
            <x v="0"/>
          </reference>
          <reference field="14" count="1" selected="0">
            <x v="0"/>
          </reference>
        </references>
      </pivotArea>
    </chartFormat>
    <chartFormat chart="3" format="13" series="1">
      <pivotArea type="data" outline="0" fieldPosition="0">
        <references count="2">
          <reference field="4294967294" count="1" selected="0">
            <x v="0"/>
          </reference>
          <reference field="14" count="1" selected="0">
            <x v="1"/>
          </reference>
        </references>
      </pivotArea>
    </chartFormat>
    <chartFormat chart="3" format="14" series="1">
      <pivotArea type="data" outline="0" fieldPosition="0">
        <references count="2">
          <reference field="4294967294" count="1" selected="0">
            <x v="0"/>
          </reference>
          <reference field="14" count="1" selected="0">
            <x v="2"/>
          </reference>
        </references>
      </pivotArea>
    </chartFormat>
    <chartFormat chart="3" format="15" series="1">
      <pivotArea type="data" outline="0" fieldPosition="0">
        <references count="2">
          <reference field="4294967294" count="1" selected="0">
            <x v="0"/>
          </reference>
          <reference field="14" count="1" selected="0">
            <x v="3"/>
          </reference>
        </references>
      </pivotArea>
    </chartFormat>
    <chartFormat chart="1" format="8"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8192AE-5D89-4F77-8C49-2E6FC719473D}"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5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764">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s>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2"/>
        <item x="1"/>
        <item h="1" x="3"/>
        <item h="1"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49">
    <i>
      <x/>
      <x/>
    </i>
    <i r="1">
      <x v="2"/>
    </i>
    <i r="1">
      <x v="3"/>
    </i>
    <i r="1">
      <x v="4"/>
    </i>
    <i r="1">
      <x v="5"/>
    </i>
    <i r="1">
      <x v="6"/>
    </i>
    <i r="1">
      <x v="7"/>
    </i>
    <i r="1">
      <x v="8"/>
    </i>
    <i r="1">
      <x v="9"/>
    </i>
    <i r="1">
      <x v="10"/>
    </i>
    <i r="1">
      <x v="11"/>
    </i>
    <i r="1">
      <x v="12"/>
    </i>
    <i r="1">
      <x v="13"/>
    </i>
    <i r="1">
      <x v="14"/>
    </i>
    <i r="1">
      <x v="15"/>
    </i>
    <i r="1">
      <x v="16"/>
    </i>
    <i r="1">
      <x v="17"/>
    </i>
    <i r="1">
      <x v="18"/>
    </i>
    <i r="1">
      <x v="19"/>
    </i>
    <i r="1">
      <x v="20"/>
    </i>
    <i r="1">
      <x v="23"/>
    </i>
    <i r="1">
      <x v="26"/>
    </i>
    <i r="1">
      <x v="27"/>
    </i>
    <i r="1">
      <x v="28"/>
    </i>
    <i r="1">
      <x v="29"/>
    </i>
    <i r="1">
      <x v="30"/>
    </i>
    <i r="1">
      <x v="31"/>
    </i>
    <i r="1">
      <x v="32"/>
    </i>
    <i r="1">
      <x v="33"/>
    </i>
    <i r="1">
      <x v="34"/>
    </i>
    <i r="1">
      <x v="35"/>
    </i>
    <i r="1">
      <x v="36"/>
    </i>
    <i r="1">
      <x v="37"/>
    </i>
    <i r="1">
      <x v="38"/>
    </i>
    <i r="1">
      <x v="40"/>
    </i>
    <i r="1">
      <x v="41"/>
    </i>
    <i r="1">
      <x v="42"/>
    </i>
    <i r="1">
      <x v="43"/>
    </i>
    <i r="1">
      <x v="44"/>
    </i>
    <i r="1">
      <x v="46"/>
    </i>
    <i r="1">
      <x v="47"/>
    </i>
    <i r="1">
      <x v="48"/>
    </i>
    <i r="1">
      <x v="49"/>
    </i>
    <i r="1">
      <x v="50"/>
    </i>
    <i r="1">
      <x v="51"/>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4540E8-BA26-4FDD-8F1D-22EC0EC7CD6F}"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G30"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1">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7" count="1" selected="0">
            <x v="1"/>
          </reference>
        </references>
      </pivotArea>
    </chartFormat>
    <chartFormat chart="8" format="1" series="1">
      <pivotArea type="data" outline="0" fieldPosition="0">
        <references count="2">
          <reference field="4294967294" count="1" selected="0">
            <x v="0"/>
          </reference>
          <reference field="17" count="1" selected="0">
            <x v="2"/>
          </reference>
        </references>
      </pivotArea>
    </chartFormat>
    <chartFormat chart="8" format="2" series="1">
      <pivotArea type="data" outline="0" fieldPosition="0">
        <references count="2">
          <reference field="4294967294" count="1" selected="0">
            <x v="0"/>
          </reference>
          <reference field="17" count="1" selected="0">
            <x v="3"/>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9" count="1" selected="0">
            <x v="1"/>
          </reference>
        </references>
      </pivotArea>
    </chartFormat>
    <chartFormat chart="8" format="5" series="1">
      <pivotArea type="data" outline="0" fieldPosition="0">
        <references count="2">
          <reference field="4294967294" count="1" selected="0">
            <x v="0"/>
          </reference>
          <reference field="9" count="1" selected="0">
            <x v="2"/>
          </reference>
        </references>
      </pivotArea>
    </chartFormat>
    <chartFormat chart="8" format="6" series="1">
      <pivotArea type="data" outline="0" fieldPosition="0">
        <references count="2">
          <reference field="4294967294" count="1" selected="0">
            <x v="0"/>
          </reference>
          <reference field="9" count="1" selected="0">
            <x v="3"/>
          </reference>
        </references>
      </pivotArea>
    </chartFormat>
    <chartFormat chart="8" format="7" series="1">
      <pivotArea type="data" outline="0" fieldPosition="0">
        <references count="2">
          <reference field="4294967294" count="1" selected="0">
            <x v="0"/>
          </reference>
          <reference field="9" count="1" selected="0">
            <x v="4"/>
          </reference>
        </references>
      </pivotArea>
    </chartFormat>
    <chartFormat chart="9" format="8" series="1">
      <pivotArea type="data" outline="0" fieldPosition="0">
        <references count="2">
          <reference field="4294967294" count="1" selected="0">
            <x v="0"/>
          </reference>
          <reference field="9" count="1" selected="0">
            <x v="0"/>
          </reference>
        </references>
      </pivotArea>
    </chartFormat>
    <chartFormat chart="9" format="9" series="1">
      <pivotArea type="data" outline="0" fieldPosition="0">
        <references count="2">
          <reference field="4294967294" count="1" selected="0">
            <x v="0"/>
          </reference>
          <reference field="9" count="1" selected="0">
            <x v="1"/>
          </reference>
        </references>
      </pivotArea>
    </chartFormat>
    <chartFormat chart="9" format="10" series="1">
      <pivotArea type="data" outline="0" fieldPosition="0">
        <references count="2">
          <reference field="4294967294" count="1" selected="0">
            <x v="0"/>
          </reference>
          <reference field="9" count="1" selected="0">
            <x v="2"/>
          </reference>
        </references>
      </pivotArea>
    </chartFormat>
    <chartFormat chart="9" format="11" series="1">
      <pivotArea type="data" outline="0" fieldPosition="0">
        <references count="2">
          <reference field="4294967294" count="1" selected="0">
            <x v="0"/>
          </reference>
          <reference field="9" count="1" selected="0">
            <x v="3"/>
          </reference>
        </references>
      </pivotArea>
    </chartFormat>
    <chartFormat chart="9" format="12" series="1">
      <pivotArea type="data" outline="0" fieldPosition="0">
        <references count="2">
          <reference field="4294967294" count="1" selected="0">
            <x v="0"/>
          </reference>
          <reference field="9" count="1" selected="0">
            <x v="4"/>
          </reference>
        </references>
      </pivotArea>
    </chartFormat>
    <chartFormat chart="10" format="13" series="1">
      <pivotArea type="data" outline="0" fieldPosition="0">
        <references count="2">
          <reference field="4294967294" count="1" selected="0">
            <x v="0"/>
          </reference>
          <reference field="9" count="1" selected="0">
            <x v="0"/>
          </reference>
        </references>
      </pivotArea>
    </chartFormat>
    <chartFormat chart="10" format="14" series="1">
      <pivotArea type="data" outline="0" fieldPosition="0">
        <references count="2">
          <reference field="4294967294" count="1" selected="0">
            <x v="0"/>
          </reference>
          <reference field="9" count="1" selected="0">
            <x v="1"/>
          </reference>
        </references>
      </pivotArea>
    </chartFormat>
    <chartFormat chart="10" format="15" series="1">
      <pivotArea type="data" outline="0" fieldPosition="0">
        <references count="2">
          <reference field="4294967294" count="1" selected="0">
            <x v="0"/>
          </reference>
          <reference field="9" count="1" selected="0">
            <x v="2"/>
          </reference>
        </references>
      </pivotArea>
    </chartFormat>
    <chartFormat chart="10" format="16"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4"/>
          </reference>
        </references>
      </pivotArea>
    </chartFormat>
    <chartFormat chart="8"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7378EA-68DB-4726-BB82-048CF36B37B0}"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2"/>
    </i>
    <i>
      <x v="14"/>
    </i>
    <i t="grand">
      <x/>
    </i>
  </rowItems>
  <colItems count="1">
    <i/>
  </colItems>
  <dataFields count="1">
    <dataField name="Count of TX ID" fld="0" subtotal="count"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E1A7E2C-AD04-461A-A943-B145371B4E02}" sourceName="Order Mode">
  <pivotTables>
    <pivotTable tabId="12" name="pvtRating"/>
    <pivotTable tabId="11" name="pvtMap"/>
    <pivotTable tabId="6" name="pvtSummary"/>
    <pivotTable tabId="9" name="pvtQty"/>
    <pivotTable tabId="10" name="pvtGender"/>
    <pivotTable tabId="10" name="pvtProduct"/>
    <pivotTable tabId="12" name="pvtDuration"/>
  </pivotTables>
  <data>
    <tabular pivotCacheId="193179957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44ECAF6-498C-4CE6-8C8C-140A88E6976C}" sourceName="Gender Value">
  <pivotTables>
    <pivotTable tabId="12" name="pvtRating"/>
    <pivotTable tabId="11" name="pvtMap"/>
    <pivotTable tabId="6" name="pvtSummary"/>
    <pivotTable tabId="6" name="pvtTrend"/>
    <pivotTable tabId="9" name="pvtQty"/>
    <pivotTable tabId="10" name="pvtProduct"/>
    <pivotTable tabId="12" name="pvtDuration"/>
  </pivotTables>
  <data>
    <tabular pivotCacheId="1931799575">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BBB19221-67D1-48EB-A9ED-82249659F6EF}" cache="Slicer_Order_Mode" caption="Order Mode" rowHeight="247650"/>
  <slicer name="Gender Value 1" xr10:uid="{3C20920A-FD8C-41AB-9F88-F81AA6A00A2B}"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85F0E80-57BA-4068-A077-7A94B689D3E5}" cache="Slicer_Order_Mode" caption="Order Mode" rowHeight="247650"/>
  <slicer name="Gender Value" xr10:uid="{DE7CB410-4064-4003-AB70-69BFABA6F16E}"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6C36-45F9-4D38-A86C-348AEE3BF2AA}">
  <dimension ref="A2:L22"/>
  <sheetViews>
    <sheetView workbookViewId="0">
      <selection activeCell="N10" sqref="N10"/>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8" max="8" width="15" bestFit="1" customWidth="1"/>
    <col min="10" max="10" width="12" customWidth="1"/>
    <col min="12" max="12" width="13.5546875" bestFit="1" customWidth="1"/>
  </cols>
  <sheetData>
    <row r="2" spans="1:12" x14ac:dyDescent="0.3">
      <c r="H2" t="s">
        <v>2526</v>
      </c>
    </row>
    <row r="3" spans="1:12" x14ac:dyDescent="0.3">
      <c r="A3" s="7" t="s">
        <v>2522</v>
      </c>
      <c r="B3" s="7" t="s">
        <v>2523</v>
      </c>
      <c r="C3" s="7" t="s">
        <v>2528</v>
      </c>
      <c r="D3" s="7" t="s">
        <v>2524</v>
      </c>
      <c r="E3" s="7" t="s">
        <v>2525</v>
      </c>
      <c r="H3" s="7" t="s">
        <v>2518</v>
      </c>
      <c r="I3" s="7" t="s">
        <v>2527</v>
      </c>
      <c r="J3" s="7" t="s">
        <v>4</v>
      </c>
      <c r="K3" s="7" t="s">
        <v>2519</v>
      </c>
      <c r="L3" s="7" t="s">
        <v>2529</v>
      </c>
    </row>
    <row r="4" spans="1:12" x14ac:dyDescent="0.3">
      <c r="A4">
        <v>959</v>
      </c>
      <c r="B4">
        <v>4672</v>
      </c>
      <c r="C4" s="15">
        <v>240895.70000000016</v>
      </c>
      <c r="D4">
        <v>3.9843587069864443</v>
      </c>
      <c r="E4">
        <v>2.2596454640250259</v>
      </c>
      <c r="H4" t="str">
        <f>TEXT(A4,"#,##")</f>
        <v>959</v>
      </c>
      <c r="I4" t="str">
        <f>TEXT(B4,"#,##")</f>
        <v>4,672</v>
      </c>
      <c r="J4" t="str">
        <f>TEXT(C4,"$#,##,0k")</f>
        <v>$240,896k</v>
      </c>
      <c r="K4">
        <f>ROUND(D4,1)</f>
        <v>4</v>
      </c>
      <c r="L4">
        <f>ROUND(E4,1)</f>
        <v>2.2999999999999998</v>
      </c>
    </row>
    <row r="6" spans="1:12" ht="15.6" x14ac:dyDescent="0.3">
      <c r="A6" s="14" t="s">
        <v>2546</v>
      </c>
    </row>
    <row r="8" spans="1:12" x14ac:dyDescent="0.3">
      <c r="A8" s="5" t="s">
        <v>2520</v>
      </c>
      <c r="B8" s="7" t="s">
        <v>2523</v>
      </c>
      <c r="C8" s="7" t="s">
        <v>2528</v>
      </c>
    </row>
    <row r="9" spans="1:12" x14ac:dyDescent="0.3">
      <c r="A9" s="6">
        <v>1</v>
      </c>
      <c r="B9">
        <v>253</v>
      </c>
      <c r="C9" s="8">
        <v>16190.199999999997</v>
      </c>
    </row>
    <row r="10" spans="1:12" x14ac:dyDescent="0.3">
      <c r="A10" s="6">
        <v>2</v>
      </c>
      <c r="B10">
        <v>289</v>
      </c>
      <c r="C10" s="8">
        <v>13399.8</v>
      </c>
    </row>
    <row r="11" spans="1:12" x14ac:dyDescent="0.3">
      <c r="A11" s="6">
        <v>3</v>
      </c>
      <c r="B11">
        <v>310</v>
      </c>
      <c r="C11" s="8">
        <v>14642.199999999997</v>
      </c>
    </row>
    <row r="12" spans="1:12" x14ac:dyDescent="0.3">
      <c r="A12" s="6">
        <v>4</v>
      </c>
      <c r="B12">
        <v>308</v>
      </c>
      <c r="C12" s="8">
        <v>14970.900000000003</v>
      </c>
    </row>
    <row r="13" spans="1:12" x14ac:dyDescent="0.3">
      <c r="A13" s="6">
        <v>5</v>
      </c>
      <c r="B13">
        <v>248</v>
      </c>
      <c r="C13" s="8">
        <v>12546.6</v>
      </c>
    </row>
    <row r="14" spans="1:12" x14ac:dyDescent="0.3">
      <c r="A14" s="6">
        <v>6</v>
      </c>
      <c r="B14">
        <v>372</v>
      </c>
      <c r="C14" s="8">
        <v>19718.500000000007</v>
      </c>
    </row>
    <row r="15" spans="1:12" x14ac:dyDescent="0.3">
      <c r="A15" s="6">
        <v>7</v>
      </c>
      <c r="B15">
        <v>316</v>
      </c>
      <c r="C15" s="8">
        <v>15556.700000000003</v>
      </c>
    </row>
    <row r="16" spans="1:12" x14ac:dyDescent="0.3">
      <c r="A16" s="6">
        <v>8</v>
      </c>
      <c r="B16">
        <v>584</v>
      </c>
      <c r="C16" s="8">
        <v>29035.999999999993</v>
      </c>
    </row>
    <row r="17" spans="1:3" x14ac:dyDescent="0.3">
      <c r="A17" s="6">
        <v>9</v>
      </c>
      <c r="B17">
        <v>407</v>
      </c>
      <c r="C17" s="8">
        <v>16015.400000000003</v>
      </c>
    </row>
    <row r="18" spans="1:3" x14ac:dyDescent="0.3">
      <c r="A18" s="6">
        <v>10</v>
      </c>
      <c r="B18">
        <v>452</v>
      </c>
      <c r="C18" s="8">
        <v>23834.200000000004</v>
      </c>
    </row>
    <row r="19" spans="1:3" x14ac:dyDescent="0.3">
      <c r="A19" s="6">
        <v>11</v>
      </c>
      <c r="B19">
        <v>350</v>
      </c>
      <c r="C19" s="8">
        <v>18055.3</v>
      </c>
    </row>
    <row r="20" spans="1:3" x14ac:dyDescent="0.3">
      <c r="A20" s="6">
        <v>12</v>
      </c>
      <c r="B20">
        <v>455</v>
      </c>
      <c r="C20" s="8">
        <v>28060.400000000005</v>
      </c>
    </row>
    <row r="21" spans="1:3" x14ac:dyDescent="0.3">
      <c r="A21" s="6">
        <v>13</v>
      </c>
      <c r="B21">
        <v>328</v>
      </c>
      <c r="C21" s="8">
        <v>18869.5</v>
      </c>
    </row>
    <row r="22" spans="1:3" x14ac:dyDescent="0.3">
      <c r="A22" s="6" t="s">
        <v>2521</v>
      </c>
      <c r="B22">
        <v>4672</v>
      </c>
      <c r="C22" s="8">
        <v>240895.69999999998</v>
      </c>
    </row>
  </sheetData>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70" zoomScaleNormal="70" workbookViewId="0">
      <selection activeCell="AF24" sqref="AF24"/>
    </sheetView>
  </sheetViews>
  <sheetFormatPr defaultRowHeight="14.4" x14ac:dyDescent="0.3"/>
  <cols>
    <col min="1" max="1" width="7.21875" customWidth="1"/>
    <col min="2" max="2" width="11.5546875" customWidth="1"/>
    <col min="3" max="3" width="7.21875" customWidth="1"/>
    <col min="4" max="4" width="3.33203125" customWidth="1"/>
    <col min="26" max="26" width="3.33203125" customWidth="1"/>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2442-E6A7-4303-A26B-80BBF8924617}">
  <dimension ref="A2:M10"/>
  <sheetViews>
    <sheetView showGridLines="0" workbookViewId="0">
      <selection activeCell="F21" sqref="F21"/>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9" max="9" width="10.44140625" bestFit="1" customWidth="1"/>
  </cols>
  <sheetData>
    <row r="2" spans="1:13" x14ac:dyDescent="0.3">
      <c r="I2" t="s">
        <v>2535</v>
      </c>
    </row>
    <row r="3" spans="1:13" x14ac:dyDescent="0.3">
      <c r="A3" s="5" t="s">
        <v>2528</v>
      </c>
      <c r="B3" s="5" t="s">
        <v>2534</v>
      </c>
    </row>
    <row r="4" spans="1:13" x14ac:dyDescent="0.3">
      <c r="A4" s="5" t="s">
        <v>2520</v>
      </c>
      <c r="B4" t="s">
        <v>2530</v>
      </c>
      <c r="C4" t="s">
        <v>2531</v>
      </c>
      <c r="D4" t="s">
        <v>2532</v>
      </c>
      <c r="E4" t="s">
        <v>2533</v>
      </c>
      <c r="F4" t="s">
        <v>2521</v>
      </c>
      <c r="I4" s="10"/>
      <c r="J4" s="10" t="str">
        <f>B4</f>
        <v>Female</v>
      </c>
      <c r="K4" s="10" t="str">
        <f t="shared" ref="K4:M4" si="0">C4</f>
        <v>Male</v>
      </c>
      <c r="L4" s="10" t="str">
        <f t="shared" si="0"/>
        <v>Other</v>
      </c>
      <c r="M4" s="10" t="str">
        <f t="shared" si="0"/>
        <v>Unknown</v>
      </c>
    </row>
    <row r="5" spans="1:13" x14ac:dyDescent="0.3">
      <c r="A5" s="6" t="s">
        <v>18</v>
      </c>
      <c r="B5" s="9">
        <v>0.18961825201634841</v>
      </c>
      <c r="C5" s="9">
        <v>0.12262322351336576</v>
      </c>
      <c r="D5" s="9">
        <v>1.060537752469185E-2</v>
      </c>
      <c r="E5" s="9">
        <v>3.0599220547662797E-2</v>
      </c>
      <c r="F5" s="9">
        <v>0.35344607360206881</v>
      </c>
      <c r="I5" s="10" t="str">
        <f>A5</f>
        <v>App</v>
      </c>
      <c r="J5" s="11">
        <f t="shared" ref="J5:M5" si="1">B5</f>
        <v>0.18961825201634841</v>
      </c>
      <c r="K5" s="11">
        <f t="shared" si="1"/>
        <v>0.12262322351336576</v>
      </c>
      <c r="L5" s="11">
        <f t="shared" si="1"/>
        <v>1.060537752469185E-2</v>
      </c>
      <c r="M5" s="11">
        <f t="shared" si="1"/>
        <v>3.0599220547662797E-2</v>
      </c>
    </row>
    <row r="6" spans="1:13" x14ac:dyDescent="0.3">
      <c r="A6" s="6" t="s">
        <v>51</v>
      </c>
      <c r="B6" s="9">
        <v>5.0283982091147303E-2</v>
      </c>
      <c r="C6" s="9">
        <v>4.3060781812819873E-2</v>
      </c>
      <c r="D6" s="9">
        <v>1.5320025675641944E-3</v>
      </c>
      <c r="E6" s="9">
        <v>1.7794988689097006E-2</v>
      </c>
      <c r="F6" s="9">
        <v>0.11267175516062837</v>
      </c>
      <c r="I6" s="10" t="str">
        <f t="shared" ref="I6:I9" si="2">A6</f>
        <v>Instagram</v>
      </c>
      <c r="J6" s="11">
        <f t="shared" ref="J6:J9" si="3">B6</f>
        <v>5.0283982091147303E-2</v>
      </c>
      <c r="K6" s="11">
        <f t="shared" ref="K6:K9" si="4">C6</f>
        <v>4.3060781812819873E-2</v>
      </c>
      <c r="L6" s="11">
        <f t="shared" ref="L6:L9" si="5">D6</f>
        <v>1.5320025675641944E-3</v>
      </c>
      <c r="M6" s="11">
        <f t="shared" ref="M6:M9" si="6">E6</f>
        <v>1.7794988689097006E-2</v>
      </c>
    </row>
    <row r="7" spans="1:13" x14ac:dyDescent="0.3">
      <c r="A7" s="6" t="s">
        <v>70</v>
      </c>
      <c r="B7" s="9">
        <v>6.3496059750411282E-2</v>
      </c>
      <c r="C7" s="9">
        <v>4.6071629863988765E-2</v>
      </c>
      <c r="D7" s="9">
        <v>2.306247051322625E-3</v>
      </c>
      <c r="E7" s="9">
        <v>3.8927934093844286E-3</v>
      </c>
      <c r="F7" s="9">
        <v>0.11576673007510711</v>
      </c>
      <c r="I7" s="10" t="str">
        <f t="shared" si="2"/>
        <v>Partner App</v>
      </c>
      <c r="J7" s="11">
        <f t="shared" si="3"/>
        <v>6.3496059750411282E-2</v>
      </c>
      <c r="K7" s="11">
        <f t="shared" si="4"/>
        <v>4.6071629863988765E-2</v>
      </c>
      <c r="L7" s="11">
        <f t="shared" si="5"/>
        <v>2.306247051322625E-3</v>
      </c>
      <c r="M7" s="11">
        <f t="shared" si="6"/>
        <v>3.8927934093844286E-3</v>
      </c>
    </row>
    <row r="8" spans="1:13" x14ac:dyDescent="0.3">
      <c r="A8" s="6" t="s">
        <v>40</v>
      </c>
      <c r="B8" s="9">
        <v>9.6337892927149532E-2</v>
      </c>
      <c r="C8" s="9">
        <v>6.7920115842382611E-2</v>
      </c>
      <c r="D8" s="9">
        <v>5.4979832664581261E-3</v>
      </c>
      <c r="E8" s="9">
        <v>1.2933041488102518E-2</v>
      </c>
      <c r="F8" s="9">
        <v>0.1826890335240928</v>
      </c>
      <c r="I8" s="10" t="str">
        <f t="shared" si="2"/>
        <v>Target.com</v>
      </c>
      <c r="J8" s="11">
        <f t="shared" si="3"/>
        <v>9.6337892927149532E-2</v>
      </c>
      <c r="K8" s="11">
        <f t="shared" si="4"/>
        <v>6.7920115842382611E-2</v>
      </c>
      <c r="L8" s="11">
        <f t="shared" si="5"/>
        <v>5.4979832664581261E-3</v>
      </c>
      <c r="M8" s="11">
        <f t="shared" si="6"/>
        <v>1.2933041488102518E-2</v>
      </c>
    </row>
    <row r="9" spans="1:13" x14ac:dyDescent="0.3">
      <c r="A9" s="6" t="s">
        <v>35</v>
      </c>
      <c r="B9" s="9">
        <v>0.12522098709469262</v>
      </c>
      <c r="C9" s="9">
        <v>9.1492740283116228E-2</v>
      </c>
      <c r="D9" s="9">
        <v>6.3042760790965081E-3</v>
      </c>
      <c r="E9" s="9">
        <v>1.2408404181197551E-2</v>
      </c>
      <c r="F9" s="9">
        <v>0.23542640763810288</v>
      </c>
      <c r="I9" s="10" t="str">
        <f t="shared" si="2"/>
        <v>Website</v>
      </c>
      <c r="J9" s="11">
        <f t="shared" si="3"/>
        <v>0.12522098709469262</v>
      </c>
      <c r="K9" s="11">
        <f t="shared" si="4"/>
        <v>9.1492740283116228E-2</v>
      </c>
      <c r="L9" s="11">
        <f t="shared" si="5"/>
        <v>6.3042760790965081E-3</v>
      </c>
      <c r="M9" s="11">
        <f t="shared" si="6"/>
        <v>1.2408404181197551E-2</v>
      </c>
    </row>
    <row r="10" spans="1:13" x14ac:dyDescent="0.3">
      <c r="A10" s="6" t="s">
        <v>2521</v>
      </c>
      <c r="B10" s="9">
        <v>0.52495717387974916</v>
      </c>
      <c r="C10" s="9">
        <v>0.3711684913156732</v>
      </c>
      <c r="D10" s="9">
        <v>2.6245886489133303E-2</v>
      </c>
      <c r="E10" s="9">
        <v>7.7628448315444312E-2</v>
      </c>
      <c r="F10" s="9">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D8B9-14F4-40E9-8841-6DB5541BEAA3}">
  <dimension ref="A2:B11"/>
  <sheetViews>
    <sheetView workbookViewId="0">
      <selection activeCell="A7" sqref="A7"/>
    </sheetView>
  </sheetViews>
  <sheetFormatPr defaultRowHeight="14.4" x14ac:dyDescent="0.3"/>
  <cols>
    <col min="1" max="1" width="12.44140625" bestFit="1" customWidth="1"/>
    <col min="2" max="2" width="12.21875" bestFit="1" customWidth="1"/>
  </cols>
  <sheetData>
    <row r="2" spans="1:2" x14ac:dyDescent="0.3">
      <c r="A2" s="12" t="s">
        <v>2536</v>
      </c>
    </row>
    <row r="3" spans="1:2" x14ac:dyDescent="0.3">
      <c r="A3" s="5" t="s">
        <v>2520</v>
      </c>
      <c r="B3" t="s">
        <v>2522</v>
      </c>
    </row>
    <row r="4" spans="1:2" x14ac:dyDescent="0.3">
      <c r="A4" s="6">
        <v>1</v>
      </c>
      <c r="B4">
        <v>159</v>
      </c>
    </row>
    <row r="5" spans="1:2" x14ac:dyDescent="0.3">
      <c r="A5" s="6">
        <v>2</v>
      </c>
      <c r="B5">
        <v>235</v>
      </c>
    </row>
    <row r="6" spans="1:2" x14ac:dyDescent="0.3">
      <c r="A6" s="6">
        <v>3</v>
      </c>
      <c r="B6">
        <v>145</v>
      </c>
    </row>
    <row r="7" spans="1:2" x14ac:dyDescent="0.3">
      <c r="A7" s="6">
        <v>4</v>
      </c>
      <c r="B7">
        <v>99</v>
      </c>
    </row>
    <row r="8" spans="1:2" x14ac:dyDescent="0.3">
      <c r="A8" s="6">
        <v>5</v>
      </c>
      <c r="B8">
        <v>76</v>
      </c>
    </row>
    <row r="9" spans="1:2" x14ac:dyDescent="0.3">
      <c r="A9" s="6" t="s">
        <v>2537</v>
      </c>
      <c r="B9">
        <v>151</v>
      </c>
    </row>
    <row r="10" spans="1:2" x14ac:dyDescent="0.3">
      <c r="A10" s="6" t="s">
        <v>2538</v>
      </c>
      <c r="B10">
        <v>94</v>
      </c>
    </row>
    <row r="11" spans="1:2" x14ac:dyDescent="0.3">
      <c r="A11" s="6" t="s">
        <v>2521</v>
      </c>
      <c r="B11">
        <v>959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BFA1-449D-48A4-BE7A-2D45F7E9E530}">
  <dimension ref="A1:C35"/>
  <sheetViews>
    <sheetView workbookViewId="0">
      <selection activeCell="B36" sqref="B36"/>
    </sheetView>
  </sheetViews>
  <sheetFormatPr defaultRowHeight="14.4" x14ac:dyDescent="0.3"/>
  <cols>
    <col min="1" max="1" width="19.109375" bestFit="1" customWidth="1"/>
    <col min="2" max="2" width="15.5546875" bestFit="1" customWidth="1"/>
    <col min="3" max="3" width="10.5546875" bestFit="1" customWidth="1"/>
    <col min="4" max="4" width="5.6640625" bestFit="1" customWidth="1"/>
    <col min="5" max="5" width="8.5546875" bestFit="1" customWidth="1"/>
    <col min="6" max="6" width="10.5546875" bestFit="1" customWidth="1"/>
  </cols>
  <sheetData>
    <row r="1" spans="1:3" x14ac:dyDescent="0.3">
      <c r="A1" s="12" t="s">
        <v>2547</v>
      </c>
    </row>
    <row r="3" spans="1:3" x14ac:dyDescent="0.3">
      <c r="A3" s="5" t="s">
        <v>2523</v>
      </c>
      <c r="B3" s="5" t="s">
        <v>2534</v>
      </c>
    </row>
    <row r="4" spans="1:3" x14ac:dyDescent="0.3">
      <c r="A4" s="5" t="s">
        <v>2520</v>
      </c>
      <c r="B4" t="s">
        <v>2531</v>
      </c>
      <c r="C4" t="s">
        <v>2521</v>
      </c>
    </row>
    <row r="5" spans="1:3" x14ac:dyDescent="0.3">
      <c r="A5" s="6" t="s">
        <v>44</v>
      </c>
      <c r="B5">
        <v>713</v>
      </c>
      <c r="C5">
        <v>713</v>
      </c>
    </row>
    <row r="6" spans="1:3" x14ac:dyDescent="0.3">
      <c r="A6" s="6" t="s">
        <v>39</v>
      </c>
      <c r="B6">
        <v>598</v>
      </c>
      <c r="C6">
        <v>598</v>
      </c>
    </row>
    <row r="7" spans="1:3" x14ac:dyDescent="0.3">
      <c r="A7" s="6" t="s">
        <v>26</v>
      </c>
      <c r="B7">
        <v>393</v>
      </c>
      <c r="C7">
        <v>393</v>
      </c>
    </row>
    <row r="8" spans="1:3" x14ac:dyDescent="0.3">
      <c r="A8" s="6" t="s">
        <v>42</v>
      </c>
      <c r="B8">
        <v>318</v>
      </c>
      <c r="C8">
        <v>318</v>
      </c>
    </row>
    <row r="9" spans="1:3" x14ac:dyDescent="0.3">
      <c r="A9" s="6" t="s">
        <v>22</v>
      </c>
      <c r="B9">
        <v>306</v>
      </c>
      <c r="C9">
        <v>306</v>
      </c>
    </row>
    <row r="10" spans="1:3" x14ac:dyDescent="0.3">
      <c r="A10" s="6" t="s">
        <v>54</v>
      </c>
      <c r="B10">
        <v>295</v>
      </c>
      <c r="C10">
        <v>295</v>
      </c>
    </row>
    <row r="11" spans="1:3" x14ac:dyDescent="0.3">
      <c r="A11" s="6" t="s">
        <v>16</v>
      </c>
      <c r="B11">
        <v>293</v>
      </c>
      <c r="C11">
        <v>293</v>
      </c>
    </row>
    <row r="12" spans="1:3" x14ac:dyDescent="0.3">
      <c r="A12" s="6" t="s">
        <v>37</v>
      </c>
      <c r="B12">
        <v>275</v>
      </c>
      <c r="C12">
        <v>275</v>
      </c>
    </row>
    <row r="13" spans="1:3" x14ac:dyDescent="0.3">
      <c r="A13" s="6" t="s">
        <v>123</v>
      </c>
      <c r="B13">
        <v>246</v>
      </c>
      <c r="C13">
        <v>246</v>
      </c>
    </row>
    <row r="14" spans="1:3" x14ac:dyDescent="0.3">
      <c r="A14" s="6" t="s">
        <v>46</v>
      </c>
      <c r="B14">
        <v>202</v>
      </c>
      <c r="C14">
        <v>202</v>
      </c>
    </row>
    <row r="15" spans="1:3" x14ac:dyDescent="0.3">
      <c r="A15" s="6" t="s">
        <v>32</v>
      </c>
      <c r="B15">
        <v>187</v>
      </c>
      <c r="C15">
        <v>187</v>
      </c>
    </row>
    <row r="16" spans="1:3" x14ac:dyDescent="0.3">
      <c r="A16" s="6" t="s">
        <v>146</v>
      </c>
      <c r="B16">
        <v>168</v>
      </c>
      <c r="C16">
        <v>168</v>
      </c>
    </row>
    <row r="17" spans="1:3" x14ac:dyDescent="0.3">
      <c r="A17" s="6" t="s">
        <v>135</v>
      </c>
      <c r="B17">
        <v>118</v>
      </c>
      <c r="C17">
        <v>118</v>
      </c>
    </row>
    <row r="18" spans="1:3" x14ac:dyDescent="0.3">
      <c r="A18" s="6" t="s">
        <v>76</v>
      </c>
      <c r="B18">
        <v>103</v>
      </c>
      <c r="C18">
        <v>103</v>
      </c>
    </row>
    <row r="19" spans="1:3" x14ac:dyDescent="0.3">
      <c r="A19" s="6" t="s">
        <v>30</v>
      </c>
      <c r="B19">
        <v>94</v>
      </c>
      <c r="C19">
        <v>94</v>
      </c>
    </row>
    <row r="20" spans="1:3" x14ac:dyDescent="0.3">
      <c r="A20" s="6" t="s">
        <v>69</v>
      </c>
      <c r="B20">
        <v>93</v>
      </c>
      <c r="C20">
        <v>93</v>
      </c>
    </row>
    <row r="21" spans="1:3" x14ac:dyDescent="0.3">
      <c r="A21" s="6" t="s">
        <v>81</v>
      </c>
      <c r="B21">
        <v>90</v>
      </c>
      <c r="C21">
        <v>90</v>
      </c>
    </row>
    <row r="22" spans="1:3" x14ac:dyDescent="0.3">
      <c r="A22" s="6" t="s">
        <v>67</v>
      </c>
      <c r="B22">
        <v>76</v>
      </c>
      <c r="C22">
        <v>76</v>
      </c>
    </row>
    <row r="23" spans="1:3" x14ac:dyDescent="0.3">
      <c r="A23" s="6" t="s">
        <v>128</v>
      </c>
      <c r="B23">
        <v>69</v>
      </c>
      <c r="C23">
        <v>69</v>
      </c>
    </row>
    <row r="24" spans="1:3" x14ac:dyDescent="0.3">
      <c r="A24" s="6" t="s">
        <v>171</v>
      </c>
      <c r="B24">
        <v>35</v>
      </c>
      <c r="C24">
        <v>35</v>
      </c>
    </row>
    <row r="25" spans="1:3" x14ac:dyDescent="0.3">
      <c r="A25" s="6" t="s">
        <v>2521</v>
      </c>
      <c r="B25">
        <v>4672</v>
      </c>
      <c r="C25">
        <v>4672</v>
      </c>
    </row>
    <row r="30" spans="1:3" x14ac:dyDescent="0.3">
      <c r="A30" s="5" t="s">
        <v>2520</v>
      </c>
      <c r="B30" t="s">
        <v>2523</v>
      </c>
    </row>
    <row r="31" spans="1:3" x14ac:dyDescent="0.3">
      <c r="A31" s="6" t="s">
        <v>2530</v>
      </c>
      <c r="B31">
        <v>6272</v>
      </c>
    </row>
    <row r="32" spans="1:3" x14ac:dyDescent="0.3">
      <c r="A32" s="6" t="s">
        <v>2531</v>
      </c>
      <c r="B32">
        <v>4672</v>
      </c>
    </row>
    <row r="33" spans="1:2" x14ac:dyDescent="0.3">
      <c r="A33" s="6" t="s">
        <v>2532</v>
      </c>
      <c r="B33">
        <v>317</v>
      </c>
    </row>
    <row r="34" spans="1:2" x14ac:dyDescent="0.3">
      <c r="A34" s="6" t="s">
        <v>2533</v>
      </c>
      <c r="B34">
        <v>736</v>
      </c>
    </row>
    <row r="35" spans="1:2" x14ac:dyDescent="0.3">
      <c r="A35" s="6" t="s">
        <v>2521</v>
      </c>
      <c r="B35">
        <v>11997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DBFE-BC08-4DB2-AA6B-6B8FD9960BDC}">
  <dimension ref="A2:R61"/>
  <sheetViews>
    <sheetView topLeftCell="A22" workbookViewId="0">
      <selection activeCell="B39" sqref="B39"/>
    </sheetView>
  </sheetViews>
  <sheetFormatPr defaultRowHeight="14.4" x14ac:dyDescent="0.3"/>
  <cols>
    <col min="1" max="1" width="22.77734375" bestFit="1" customWidth="1"/>
    <col min="2" max="2" width="19.33203125" bestFit="1" customWidth="1"/>
    <col min="3" max="3" width="14.21875" bestFit="1" customWidth="1"/>
    <col min="4" max="4" width="13.5546875" bestFit="1" customWidth="1"/>
    <col min="5" max="7" width="5" bestFit="1" customWidth="1"/>
    <col min="8" max="8" width="3" bestFit="1" customWidth="1"/>
    <col min="9" max="9" width="5" bestFit="1" customWidth="1"/>
    <col min="10" max="10" width="12.21875" bestFit="1" customWidth="1"/>
    <col min="11" max="11" width="19.6640625" bestFit="1" customWidth="1"/>
    <col min="12" max="12" width="14.21875" bestFit="1" customWidth="1"/>
    <col min="13" max="15" width="5" bestFit="1" customWidth="1"/>
    <col min="16" max="16" width="15.88671875" bestFit="1" customWidth="1"/>
    <col min="17" max="17" width="19.6640625" bestFit="1" customWidth="1"/>
    <col min="18" max="18" width="13.5546875" bestFit="1" customWidth="1"/>
    <col min="19" max="23" width="5" bestFit="1" customWidth="1"/>
    <col min="24" max="24" width="3" bestFit="1" customWidth="1"/>
    <col min="25" max="27" width="5" bestFit="1" customWidth="1"/>
    <col min="28" max="28" width="3" bestFit="1" customWidth="1"/>
    <col min="29" max="39" width="5" bestFit="1" customWidth="1"/>
    <col min="40" max="40" width="3" bestFit="1" customWidth="1"/>
    <col min="41" max="45" width="5" bestFit="1" customWidth="1"/>
    <col min="46" max="46" width="3" bestFit="1" customWidth="1"/>
    <col min="47" max="52" width="5" bestFit="1" customWidth="1"/>
    <col min="53" max="53" width="3" bestFit="1" customWidth="1"/>
    <col min="54" max="58" width="5" bestFit="1" customWidth="1"/>
    <col min="59" max="59" width="3" bestFit="1" customWidth="1"/>
    <col min="60" max="64" width="5" bestFit="1" customWidth="1"/>
    <col min="65" max="65" width="3" bestFit="1" customWidth="1"/>
    <col min="66" max="69" width="5" bestFit="1" customWidth="1"/>
    <col min="70" max="70" width="3" bestFit="1" customWidth="1"/>
    <col min="71" max="73" width="5" bestFit="1" customWidth="1"/>
    <col min="74" max="74" width="3" bestFit="1" customWidth="1"/>
    <col min="75" max="76" width="5" bestFit="1" customWidth="1"/>
    <col min="77" max="77" width="3" bestFit="1" customWidth="1"/>
    <col min="78" max="86" width="5" bestFit="1" customWidth="1"/>
    <col min="87" max="87" width="3" bestFit="1" customWidth="1"/>
    <col min="88" max="93" width="5" bestFit="1" customWidth="1"/>
    <col min="94" max="94" width="3" bestFit="1" customWidth="1"/>
    <col min="95" max="100" width="5" bestFit="1" customWidth="1"/>
    <col min="101" max="101" width="3" bestFit="1" customWidth="1"/>
    <col min="102" max="106" width="5" bestFit="1" customWidth="1"/>
    <col min="107" max="107" width="3" bestFit="1" customWidth="1"/>
    <col min="108" max="112" width="5" bestFit="1" customWidth="1"/>
    <col min="113" max="113" width="3" bestFit="1" customWidth="1"/>
    <col min="114" max="118" width="5" bestFit="1" customWidth="1"/>
    <col min="119" max="119" width="3" bestFit="1" customWidth="1"/>
    <col min="120" max="128" width="5" bestFit="1" customWidth="1"/>
    <col min="129" max="129" width="3" bestFit="1" customWidth="1"/>
    <col min="130" max="147" width="5" bestFit="1" customWidth="1"/>
    <col min="148" max="148" width="3" bestFit="1" customWidth="1"/>
    <col min="149" max="156" width="5" bestFit="1" customWidth="1"/>
    <col min="157" max="157" width="3" bestFit="1" customWidth="1"/>
    <col min="158" max="167" width="5" bestFit="1" customWidth="1"/>
    <col min="168" max="168" width="3" bestFit="1" customWidth="1"/>
    <col min="169" max="173" width="5" bestFit="1" customWidth="1"/>
    <col min="174" max="174" width="3" bestFit="1" customWidth="1"/>
    <col min="175" max="179" width="5" bestFit="1" customWidth="1"/>
    <col min="180" max="180" width="3" bestFit="1" customWidth="1"/>
    <col min="181" max="192" width="5" bestFit="1" customWidth="1"/>
    <col min="193" max="193" width="3" bestFit="1" customWidth="1"/>
    <col min="194" max="199" width="5" bestFit="1" customWidth="1"/>
    <col min="200" max="200" width="3" bestFit="1" customWidth="1"/>
    <col min="201" max="218" width="5" bestFit="1" customWidth="1"/>
    <col min="219" max="219" width="3" bestFit="1" customWidth="1"/>
    <col min="220" max="227" width="5" bestFit="1" customWidth="1"/>
    <col min="228" max="228" width="3" bestFit="1" customWidth="1"/>
    <col min="229" max="234" width="5" bestFit="1" customWidth="1"/>
    <col min="235" max="235" width="3" bestFit="1" customWidth="1"/>
    <col min="236" max="243" width="5" bestFit="1" customWidth="1"/>
    <col min="244" max="244" width="3" bestFit="1" customWidth="1"/>
    <col min="245" max="255" width="5" bestFit="1" customWidth="1"/>
    <col min="256" max="256" width="3" bestFit="1" customWidth="1"/>
    <col min="257" max="265" width="5" bestFit="1" customWidth="1"/>
    <col min="266" max="266" width="3" bestFit="1" customWidth="1"/>
    <col min="267" max="271" width="5" bestFit="1" customWidth="1"/>
    <col min="272" max="272" width="3" bestFit="1" customWidth="1"/>
    <col min="273" max="283" width="5" bestFit="1" customWidth="1"/>
    <col min="284" max="284" width="3" bestFit="1" customWidth="1"/>
    <col min="285" max="290" width="5" bestFit="1" customWidth="1"/>
    <col min="291" max="291" width="3" bestFit="1" customWidth="1"/>
    <col min="292" max="297" width="5" bestFit="1" customWidth="1"/>
    <col min="298" max="298" width="3" bestFit="1" customWidth="1"/>
    <col min="299" max="300" width="5" bestFit="1" customWidth="1"/>
    <col min="301" max="301" width="3" bestFit="1" customWidth="1"/>
    <col min="302" max="307" width="5" bestFit="1" customWidth="1"/>
    <col min="308" max="308" width="3" bestFit="1" customWidth="1"/>
    <col min="309" max="313" width="5" bestFit="1" customWidth="1"/>
    <col min="314" max="314" width="3" bestFit="1" customWidth="1"/>
    <col min="315" max="335" width="5" bestFit="1" customWidth="1"/>
    <col min="336" max="336" width="3" bestFit="1" customWidth="1"/>
    <col min="337" max="343" width="5" bestFit="1" customWidth="1"/>
    <col min="344" max="344" width="3" bestFit="1" customWidth="1"/>
    <col min="345" max="347" width="5" bestFit="1" customWidth="1"/>
    <col min="348" max="348" width="3" bestFit="1" customWidth="1"/>
    <col min="349" max="358" width="5" bestFit="1" customWidth="1"/>
    <col min="359" max="359" width="3" bestFit="1" customWidth="1"/>
    <col min="360" max="364" width="5" bestFit="1" customWidth="1"/>
    <col min="365" max="365" width="3" bestFit="1" customWidth="1"/>
    <col min="366" max="368" width="5" bestFit="1" customWidth="1"/>
    <col min="369" max="369" width="3" bestFit="1" customWidth="1"/>
    <col min="370" max="377" width="5" bestFit="1" customWidth="1"/>
    <col min="378" max="378" width="3" bestFit="1" customWidth="1"/>
    <col min="379" max="385" width="5" bestFit="1" customWidth="1"/>
    <col min="386" max="386" width="3" bestFit="1" customWidth="1"/>
    <col min="387" max="394" width="5" bestFit="1" customWidth="1"/>
    <col min="395" max="395" width="3" bestFit="1" customWidth="1"/>
    <col min="396" max="399" width="5" bestFit="1" customWidth="1"/>
    <col min="400" max="400" width="3" bestFit="1" customWidth="1"/>
    <col min="401" max="407" width="5" bestFit="1" customWidth="1"/>
    <col min="408" max="408" width="3" bestFit="1" customWidth="1"/>
    <col min="409" max="413" width="5" bestFit="1" customWidth="1"/>
    <col min="414" max="414" width="3" bestFit="1" customWidth="1"/>
    <col min="415" max="416" width="5" bestFit="1" customWidth="1"/>
    <col min="417" max="417" width="3" bestFit="1" customWidth="1"/>
    <col min="418" max="434" width="5" bestFit="1" customWidth="1"/>
    <col min="435" max="435" width="3" bestFit="1" customWidth="1"/>
    <col min="436" max="440" width="5" bestFit="1" customWidth="1"/>
    <col min="441" max="441" width="3" bestFit="1" customWidth="1"/>
    <col min="442" max="446" width="5" bestFit="1" customWidth="1"/>
    <col min="447" max="447" width="3" bestFit="1" customWidth="1"/>
    <col min="448" max="450" width="5" bestFit="1" customWidth="1"/>
    <col min="451" max="451" width="3" bestFit="1" customWidth="1"/>
    <col min="452" max="455" width="5" bestFit="1" customWidth="1"/>
    <col min="456" max="456" width="3" bestFit="1" customWidth="1"/>
    <col min="457" max="461" width="5" bestFit="1" customWidth="1"/>
    <col min="462" max="462" width="3" bestFit="1" customWidth="1"/>
    <col min="463" max="465" width="5" bestFit="1" customWidth="1"/>
    <col min="466" max="466" width="3" bestFit="1" customWidth="1"/>
    <col min="467" max="471" width="5" bestFit="1" customWidth="1"/>
    <col min="472" max="472" width="3" bestFit="1" customWidth="1"/>
    <col min="473" max="477" width="5" bestFit="1" customWidth="1"/>
    <col min="478" max="478" width="3" bestFit="1" customWidth="1"/>
    <col min="479" max="482" width="5" bestFit="1" customWidth="1"/>
    <col min="483" max="483" width="3" bestFit="1" customWidth="1"/>
    <col min="484" max="488" width="5" bestFit="1" customWidth="1"/>
    <col min="489" max="489" width="3" bestFit="1" customWidth="1"/>
    <col min="490" max="499" width="5" bestFit="1" customWidth="1"/>
    <col min="500" max="500" width="3" bestFit="1" customWidth="1"/>
    <col min="501" max="510" width="5" bestFit="1" customWidth="1"/>
    <col min="511" max="511" width="4" bestFit="1" customWidth="1"/>
    <col min="512" max="515" width="6" bestFit="1" customWidth="1"/>
    <col min="516" max="516" width="4" bestFit="1" customWidth="1"/>
    <col min="517" max="521" width="6" bestFit="1" customWidth="1"/>
    <col min="522" max="522" width="4" bestFit="1" customWidth="1"/>
    <col min="523" max="525" width="6" bestFit="1" customWidth="1"/>
    <col min="526" max="526" width="4" bestFit="1" customWidth="1"/>
    <col min="527" max="534" width="6" bestFit="1" customWidth="1"/>
    <col min="535" max="535" width="4" bestFit="1" customWidth="1"/>
    <col min="536" max="539" width="6" bestFit="1" customWidth="1"/>
    <col min="540" max="540" width="4" bestFit="1" customWidth="1"/>
    <col min="541" max="549" width="6" bestFit="1" customWidth="1"/>
    <col min="550" max="550" width="4" bestFit="1" customWidth="1"/>
    <col min="551" max="554" width="6" bestFit="1" customWidth="1"/>
    <col min="555" max="555" width="4" bestFit="1" customWidth="1"/>
    <col min="556" max="569" width="6" bestFit="1" customWidth="1"/>
    <col min="570" max="570" width="4" bestFit="1" customWidth="1"/>
    <col min="571" max="573" width="6" bestFit="1" customWidth="1"/>
    <col min="574" max="574" width="4" bestFit="1" customWidth="1"/>
    <col min="575" max="579" width="6" bestFit="1" customWidth="1"/>
    <col min="580" max="580" width="4" bestFit="1" customWidth="1"/>
    <col min="581" max="585" width="6" bestFit="1" customWidth="1"/>
    <col min="586" max="586" width="4" bestFit="1" customWidth="1"/>
    <col min="587" max="590" width="6" bestFit="1" customWidth="1"/>
    <col min="591" max="591" width="4" bestFit="1" customWidth="1"/>
    <col min="592" max="592" width="6" bestFit="1" customWidth="1"/>
    <col min="593" max="593" width="4" bestFit="1" customWidth="1"/>
    <col min="594" max="599" width="6" bestFit="1" customWidth="1"/>
    <col min="600" max="600" width="4" bestFit="1" customWidth="1"/>
    <col min="601" max="606" width="6" bestFit="1" customWidth="1"/>
    <col min="607" max="607" width="4" bestFit="1" customWidth="1"/>
    <col min="608" max="612" width="6" bestFit="1" customWidth="1"/>
    <col min="613" max="613" width="4" bestFit="1" customWidth="1"/>
    <col min="614" max="618" width="6" bestFit="1" customWidth="1"/>
    <col min="619" max="619" width="4" bestFit="1" customWidth="1"/>
    <col min="620" max="621" width="6" bestFit="1" customWidth="1"/>
    <col min="622" max="622" width="4" bestFit="1" customWidth="1"/>
    <col min="623" max="626" width="6" bestFit="1" customWidth="1"/>
    <col min="627" max="627" width="4" bestFit="1" customWidth="1"/>
    <col min="628" max="631" width="6" bestFit="1" customWidth="1"/>
    <col min="632" max="632" width="4" bestFit="1" customWidth="1"/>
    <col min="633" max="638" width="6" bestFit="1" customWidth="1"/>
    <col min="639" max="639" width="4" bestFit="1" customWidth="1"/>
    <col min="640" max="641" width="6" bestFit="1" customWidth="1"/>
    <col min="642" max="642" width="4" bestFit="1" customWidth="1"/>
    <col min="643" max="647" width="6" bestFit="1" customWidth="1"/>
    <col min="648" max="648" width="4" bestFit="1" customWidth="1"/>
    <col min="649" max="656" width="6" bestFit="1" customWidth="1"/>
    <col min="657" max="657" width="4" bestFit="1" customWidth="1"/>
    <col min="658" max="659" width="6" bestFit="1" customWidth="1"/>
    <col min="660" max="660" width="4" bestFit="1" customWidth="1"/>
    <col min="661" max="675" width="6" bestFit="1" customWidth="1"/>
    <col min="676" max="676" width="4" bestFit="1" customWidth="1"/>
    <col min="677" max="681" width="6" bestFit="1" customWidth="1"/>
    <col min="682" max="682" width="4" bestFit="1" customWidth="1"/>
    <col min="683" max="686" width="6" bestFit="1" customWidth="1"/>
    <col min="687" max="687" width="4" bestFit="1" customWidth="1"/>
    <col min="688" max="696" width="6" bestFit="1" customWidth="1"/>
    <col min="697" max="697" width="4" bestFit="1" customWidth="1"/>
    <col min="698" max="700" width="6" bestFit="1" customWidth="1"/>
    <col min="701" max="701" width="4" bestFit="1" customWidth="1"/>
    <col min="702" max="706" width="6" bestFit="1" customWidth="1"/>
    <col min="707" max="707" width="4" bestFit="1" customWidth="1"/>
    <col min="708" max="714" width="6" bestFit="1" customWidth="1"/>
    <col min="715" max="715" width="4" bestFit="1" customWidth="1"/>
    <col min="716" max="718" width="6" bestFit="1" customWidth="1"/>
    <col min="719" max="719" width="4" bestFit="1" customWidth="1"/>
    <col min="720" max="730" width="6" bestFit="1" customWidth="1"/>
    <col min="731" max="731" width="4" bestFit="1" customWidth="1"/>
    <col min="732" max="736" width="6" bestFit="1" customWidth="1"/>
    <col min="737" max="737" width="4" bestFit="1" customWidth="1"/>
    <col min="738" max="746" width="6" bestFit="1" customWidth="1"/>
    <col min="747" max="747" width="4" bestFit="1" customWidth="1"/>
    <col min="748" max="754" width="6" bestFit="1" customWidth="1"/>
    <col min="755" max="755" width="4" bestFit="1" customWidth="1"/>
    <col min="756" max="758" width="6" bestFit="1" customWidth="1"/>
    <col min="759" max="759" width="4" bestFit="1" customWidth="1"/>
    <col min="760" max="763" width="6" bestFit="1" customWidth="1"/>
    <col min="764" max="764" width="4" bestFit="1" customWidth="1"/>
    <col min="765" max="769" width="6" bestFit="1" customWidth="1"/>
    <col min="770" max="770" width="4" bestFit="1" customWidth="1"/>
    <col min="771" max="779" width="6" bestFit="1" customWidth="1"/>
    <col min="780" max="780" width="4" bestFit="1" customWidth="1"/>
    <col min="781" max="784" width="6" bestFit="1" customWidth="1"/>
    <col min="785" max="785" width="4" bestFit="1" customWidth="1"/>
    <col min="786" max="787" width="6" bestFit="1" customWidth="1"/>
    <col min="788" max="788" width="4" bestFit="1" customWidth="1"/>
    <col min="789" max="790" width="6" bestFit="1" customWidth="1"/>
    <col min="791" max="791" width="4" bestFit="1" customWidth="1"/>
    <col min="792" max="795" width="6" bestFit="1" customWidth="1"/>
    <col min="796" max="796" width="4" bestFit="1" customWidth="1"/>
    <col min="797" max="800" width="6" bestFit="1" customWidth="1"/>
    <col min="801" max="801" width="4" bestFit="1" customWidth="1"/>
    <col min="802" max="804" width="6" bestFit="1" customWidth="1"/>
    <col min="805" max="805" width="4" bestFit="1" customWidth="1"/>
    <col min="806" max="808" width="6" bestFit="1" customWidth="1"/>
    <col min="809" max="809" width="4" bestFit="1" customWidth="1"/>
    <col min="810" max="813" width="6" bestFit="1" customWidth="1"/>
    <col min="814" max="814" width="4" bestFit="1" customWidth="1"/>
    <col min="815" max="817" width="6" bestFit="1" customWidth="1"/>
    <col min="818" max="818" width="4" bestFit="1" customWidth="1"/>
    <col min="819" max="827" width="6" bestFit="1" customWidth="1"/>
    <col min="828" max="828" width="4" bestFit="1" customWidth="1"/>
    <col min="829" max="831" width="6" bestFit="1" customWidth="1"/>
    <col min="832" max="832" width="4" bestFit="1" customWidth="1"/>
    <col min="833" max="835" width="6" bestFit="1" customWidth="1"/>
    <col min="836" max="836" width="4" bestFit="1" customWidth="1"/>
    <col min="837" max="841" width="6" bestFit="1" customWidth="1"/>
    <col min="842" max="842" width="4" bestFit="1" customWidth="1"/>
    <col min="843" max="844" width="6" bestFit="1" customWidth="1"/>
    <col min="845" max="845" width="4" bestFit="1" customWidth="1"/>
    <col min="846" max="849" width="6" bestFit="1" customWidth="1"/>
    <col min="850" max="850" width="4" bestFit="1" customWidth="1"/>
    <col min="851" max="853" width="6" bestFit="1" customWidth="1"/>
    <col min="854" max="854" width="4" bestFit="1" customWidth="1"/>
    <col min="855" max="859" width="6" bestFit="1" customWidth="1"/>
    <col min="860" max="860" width="4" bestFit="1" customWidth="1"/>
    <col min="861" max="862" width="6" bestFit="1" customWidth="1"/>
    <col min="863" max="863" width="4" bestFit="1" customWidth="1"/>
    <col min="864" max="866" width="6" bestFit="1" customWidth="1"/>
    <col min="867" max="867" width="4" bestFit="1" customWidth="1"/>
    <col min="868" max="869" width="6" bestFit="1" customWidth="1"/>
    <col min="870" max="870" width="4" bestFit="1" customWidth="1"/>
    <col min="871" max="875" width="6" bestFit="1" customWidth="1"/>
    <col min="876" max="876" width="4" bestFit="1" customWidth="1"/>
    <col min="877" max="878" width="6" bestFit="1" customWidth="1"/>
    <col min="879" max="879" width="4" bestFit="1" customWidth="1"/>
    <col min="880" max="883" width="6" bestFit="1" customWidth="1"/>
    <col min="884" max="884" width="4" bestFit="1" customWidth="1"/>
    <col min="885" max="885" width="6" bestFit="1" customWidth="1"/>
    <col min="886" max="886" width="4" bestFit="1" customWidth="1"/>
    <col min="887" max="889" width="6" bestFit="1" customWidth="1"/>
    <col min="890" max="890" width="4" bestFit="1" customWidth="1"/>
    <col min="891" max="896" width="6" bestFit="1" customWidth="1"/>
    <col min="897" max="898" width="4" bestFit="1" customWidth="1"/>
    <col min="899" max="903" width="6" bestFit="1" customWidth="1"/>
    <col min="904" max="904" width="4" bestFit="1" customWidth="1"/>
    <col min="905" max="909" width="6" bestFit="1" customWidth="1"/>
    <col min="910" max="910" width="4" bestFit="1" customWidth="1"/>
    <col min="911" max="913" width="6" bestFit="1" customWidth="1"/>
    <col min="914" max="914" width="4" bestFit="1" customWidth="1"/>
    <col min="915" max="931" width="6" bestFit="1" customWidth="1"/>
    <col min="932" max="933" width="4" bestFit="1" customWidth="1"/>
    <col min="934" max="934" width="6" bestFit="1" customWidth="1"/>
    <col min="935" max="935" width="4" bestFit="1" customWidth="1"/>
    <col min="936" max="943" width="6" bestFit="1" customWidth="1"/>
    <col min="944" max="944" width="4" bestFit="1" customWidth="1"/>
    <col min="945" max="951" width="6" bestFit="1" customWidth="1"/>
    <col min="952" max="952" width="4" bestFit="1" customWidth="1"/>
    <col min="953" max="953" width="6" bestFit="1" customWidth="1"/>
    <col min="954" max="954" width="4" bestFit="1" customWidth="1"/>
    <col min="955" max="961" width="6" bestFit="1" customWidth="1"/>
    <col min="962" max="962" width="4" bestFit="1" customWidth="1"/>
    <col min="963" max="969" width="6" bestFit="1" customWidth="1"/>
    <col min="970" max="970" width="4" bestFit="1" customWidth="1"/>
    <col min="971" max="974" width="6" bestFit="1" customWidth="1"/>
    <col min="975" max="975" width="4" bestFit="1" customWidth="1"/>
    <col min="976" max="987" width="6" bestFit="1" customWidth="1"/>
    <col min="988" max="988" width="4" bestFit="1" customWidth="1"/>
    <col min="989" max="990" width="6" bestFit="1" customWidth="1"/>
    <col min="991" max="991" width="4" bestFit="1" customWidth="1"/>
    <col min="992" max="996" width="6" bestFit="1" customWidth="1"/>
    <col min="997" max="997" width="4" bestFit="1" customWidth="1"/>
    <col min="998" max="999" width="6" bestFit="1" customWidth="1"/>
    <col min="1000" max="1000" width="4" bestFit="1" customWidth="1"/>
    <col min="1001" max="1001" width="6" bestFit="1" customWidth="1"/>
    <col min="1002" max="1002" width="4" bestFit="1" customWidth="1"/>
    <col min="1003" max="1007" width="6" bestFit="1" customWidth="1"/>
    <col min="1008" max="1008" width="4" bestFit="1" customWidth="1"/>
    <col min="1009" max="1013" width="6" bestFit="1" customWidth="1"/>
    <col min="1014" max="1014" width="4" bestFit="1" customWidth="1"/>
    <col min="1015" max="1017" width="6" bestFit="1" customWidth="1"/>
    <col min="1018" max="1018" width="4" bestFit="1" customWidth="1"/>
    <col min="1019" max="1022" width="6" bestFit="1" customWidth="1"/>
    <col min="1023" max="1023" width="4" bestFit="1" customWidth="1"/>
    <col min="1024" max="1031" width="6" bestFit="1" customWidth="1"/>
    <col min="1032" max="1032" width="4" bestFit="1" customWidth="1"/>
    <col min="1033" max="1035" width="6" bestFit="1" customWidth="1"/>
    <col min="1036" max="1036" width="4" bestFit="1" customWidth="1"/>
    <col min="1037" max="1037" width="6" bestFit="1" customWidth="1"/>
    <col min="1038" max="1038" width="4" bestFit="1" customWidth="1"/>
    <col min="1039" max="1044" width="6" bestFit="1" customWidth="1"/>
    <col min="1045" max="1045" width="4" bestFit="1" customWidth="1"/>
    <col min="1046" max="1046" width="6" bestFit="1" customWidth="1"/>
    <col min="1047" max="1047" width="4" bestFit="1" customWidth="1"/>
    <col min="1048" max="1054" width="6" bestFit="1" customWidth="1"/>
    <col min="1055" max="1055" width="4" bestFit="1" customWidth="1"/>
    <col min="1056" max="1056" width="6" bestFit="1" customWidth="1"/>
    <col min="1057" max="1057" width="4" bestFit="1" customWidth="1"/>
    <col min="1058" max="1059" width="6" bestFit="1" customWidth="1"/>
    <col min="1060" max="1060" width="4" bestFit="1" customWidth="1"/>
    <col min="1061" max="1061" width="6" bestFit="1" customWidth="1"/>
    <col min="1062" max="1062" width="4" bestFit="1" customWidth="1"/>
    <col min="1063" max="1065" width="6" bestFit="1" customWidth="1"/>
    <col min="1066" max="1066" width="4" bestFit="1" customWidth="1"/>
    <col min="1067" max="1067" width="6" bestFit="1" customWidth="1"/>
    <col min="1068" max="1068" width="4" bestFit="1" customWidth="1"/>
    <col min="1069" max="1070" width="6" bestFit="1" customWidth="1"/>
    <col min="1071" max="1072" width="4" bestFit="1" customWidth="1"/>
    <col min="1073" max="1074" width="6" bestFit="1" customWidth="1"/>
    <col min="1075" max="1075" width="4" bestFit="1" customWidth="1"/>
    <col min="1076" max="1087" width="6" bestFit="1" customWidth="1"/>
    <col min="1088" max="1088" width="4" bestFit="1" customWidth="1"/>
    <col min="1089" max="1090" width="6" bestFit="1" customWidth="1"/>
    <col min="1091" max="1091" width="4" bestFit="1" customWidth="1"/>
    <col min="1092" max="1099" width="6" bestFit="1" customWidth="1"/>
    <col min="1100" max="1100" width="4" bestFit="1" customWidth="1"/>
    <col min="1101" max="1106" width="6" bestFit="1" customWidth="1"/>
    <col min="1107" max="1107" width="4" bestFit="1" customWidth="1"/>
    <col min="1108" max="1109" width="6" bestFit="1" customWidth="1"/>
    <col min="1110" max="1110" width="4" bestFit="1" customWidth="1"/>
    <col min="1111" max="1125" width="6" bestFit="1" customWidth="1"/>
    <col min="1126" max="1126" width="4" bestFit="1" customWidth="1"/>
    <col min="1127" max="1128" width="6" bestFit="1" customWidth="1"/>
    <col min="1129" max="1129" width="4" bestFit="1" customWidth="1"/>
    <col min="1130" max="1135" width="6" bestFit="1" customWidth="1"/>
    <col min="1136" max="1136" width="4" bestFit="1" customWidth="1"/>
    <col min="1137" max="1140" width="6" bestFit="1" customWidth="1"/>
    <col min="1141" max="1141" width="4" bestFit="1" customWidth="1"/>
    <col min="1142" max="1142" width="6" bestFit="1" customWidth="1"/>
    <col min="1143" max="1143" width="4" bestFit="1" customWidth="1"/>
    <col min="1144" max="1149" width="6" bestFit="1" customWidth="1"/>
    <col min="1150" max="1150" width="4" bestFit="1" customWidth="1"/>
    <col min="1151" max="1161" width="6" bestFit="1" customWidth="1"/>
    <col min="1162" max="1162" width="4" bestFit="1" customWidth="1"/>
    <col min="1163" max="1163" width="6" bestFit="1" customWidth="1"/>
    <col min="1164" max="1164" width="4" bestFit="1" customWidth="1"/>
    <col min="1165" max="1171" width="6" bestFit="1" customWidth="1"/>
    <col min="1172" max="1172" width="4" bestFit="1" customWidth="1"/>
    <col min="1173" max="1174" width="6" bestFit="1" customWidth="1"/>
    <col min="1175" max="1176" width="4" bestFit="1" customWidth="1"/>
    <col min="1177" max="1178" width="6" bestFit="1" customWidth="1"/>
    <col min="1179" max="1179" width="4" bestFit="1" customWidth="1"/>
    <col min="1180" max="1190" width="6" bestFit="1" customWidth="1"/>
    <col min="1191" max="1191" width="4" bestFit="1" customWidth="1"/>
    <col min="1192" max="1193" width="6" bestFit="1" customWidth="1"/>
    <col min="1194" max="1194" width="4" bestFit="1" customWidth="1"/>
    <col min="1195" max="1197" width="6" bestFit="1" customWidth="1"/>
    <col min="1198" max="1198" width="4" bestFit="1" customWidth="1"/>
    <col min="1199" max="1200" width="6" bestFit="1" customWidth="1"/>
    <col min="1201" max="1201" width="4" bestFit="1" customWidth="1"/>
    <col min="1202" max="1204" width="6" bestFit="1" customWidth="1"/>
    <col min="1205" max="1205" width="4" bestFit="1" customWidth="1"/>
    <col min="1206" max="1206" width="6" bestFit="1" customWidth="1"/>
    <col min="1207" max="1207" width="4" bestFit="1" customWidth="1"/>
    <col min="1208" max="1209" width="6" bestFit="1" customWidth="1"/>
    <col min="1210" max="1210" width="4" bestFit="1" customWidth="1"/>
    <col min="1211" max="1214" width="6" bestFit="1" customWidth="1"/>
    <col min="1215" max="1215" width="4" bestFit="1" customWidth="1"/>
    <col min="1216" max="1219" width="6" bestFit="1" customWidth="1"/>
    <col min="1220" max="1220" width="4" bestFit="1" customWidth="1"/>
    <col min="1221" max="1224" width="6" bestFit="1" customWidth="1"/>
    <col min="1225" max="1225" width="4" bestFit="1" customWidth="1"/>
    <col min="1226" max="1228" width="6" bestFit="1" customWidth="1"/>
    <col min="1229" max="1229" width="4" bestFit="1" customWidth="1"/>
    <col min="1230" max="1231" width="6" bestFit="1" customWidth="1"/>
    <col min="1232" max="1232" width="4" bestFit="1" customWidth="1"/>
    <col min="1233" max="1238" width="6" bestFit="1" customWidth="1"/>
    <col min="1239" max="1239" width="4" bestFit="1" customWidth="1"/>
    <col min="1240" max="1245" width="6" bestFit="1" customWidth="1"/>
    <col min="1246" max="1246" width="4" bestFit="1" customWidth="1"/>
    <col min="1247" max="1250" width="6" bestFit="1" customWidth="1"/>
    <col min="1251" max="1251" width="4" bestFit="1" customWidth="1"/>
    <col min="1252" max="1254" width="6" bestFit="1" customWidth="1"/>
    <col min="1255" max="1255" width="4" bestFit="1" customWidth="1"/>
    <col min="1256" max="1257" width="6" bestFit="1" customWidth="1"/>
    <col min="1258" max="1258" width="4" bestFit="1" customWidth="1"/>
    <col min="1259" max="1259" width="6" bestFit="1" customWidth="1"/>
    <col min="1260" max="1260" width="4" bestFit="1" customWidth="1"/>
    <col min="1261" max="1261" width="6" bestFit="1" customWidth="1"/>
    <col min="1262" max="1262" width="4" bestFit="1" customWidth="1"/>
    <col min="1263" max="1266" width="6" bestFit="1" customWidth="1"/>
    <col min="1267" max="1267" width="4" bestFit="1" customWidth="1"/>
    <col min="1268" max="1277" width="6" bestFit="1" customWidth="1"/>
    <col min="1278" max="1278" width="4" bestFit="1" customWidth="1"/>
    <col min="1279" max="1285" width="6" bestFit="1" customWidth="1"/>
    <col min="1286" max="1286" width="4" bestFit="1" customWidth="1"/>
    <col min="1287" max="1290" width="6" bestFit="1" customWidth="1"/>
    <col min="1291" max="1291" width="4" bestFit="1" customWidth="1"/>
    <col min="1292" max="1293" width="6" bestFit="1" customWidth="1"/>
    <col min="1294" max="1295" width="4" bestFit="1" customWidth="1"/>
    <col min="1296" max="1297" width="6" bestFit="1" customWidth="1"/>
    <col min="1298" max="1298" width="4" bestFit="1" customWidth="1"/>
    <col min="1299" max="1300" width="6" bestFit="1" customWidth="1"/>
    <col min="1301" max="1301" width="4" bestFit="1" customWidth="1"/>
    <col min="1302" max="1305" width="6" bestFit="1" customWidth="1"/>
    <col min="1306" max="1306" width="4" bestFit="1" customWidth="1"/>
    <col min="1307" max="1312" width="6" bestFit="1" customWidth="1"/>
    <col min="1313" max="1313" width="4" bestFit="1" customWidth="1"/>
    <col min="1314" max="1315" width="6" bestFit="1" customWidth="1"/>
    <col min="1316" max="1316" width="4" bestFit="1" customWidth="1"/>
    <col min="1317" max="1322" width="6" bestFit="1" customWidth="1"/>
    <col min="1323" max="1323" width="4" bestFit="1" customWidth="1"/>
    <col min="1324" max="1327" width="6" bestFit="1" customWidth="1"/>
    <col min="1328" max="1328" width="4" bestFit="1" customWidth="1"/>
    <col min="1329" max="1330" width="6" bestFit="1" customWidth="1"/>
    <col min="1331" max="1331" width="4" bestFit="1" customWidth="1"/>
    <col min="1332" max="1332" width="6" bestFit="1" customWidth="1"/>
    <col min="1333" max="1334" width="4" bestFit="1" customWidth="1"/>
    <col min="1335" max="1335" width="6" bestFit="1" customWidth="1"/>
    <col min="1336" max="1337" width="4" bestFit="1" customWidth="1"/>
    <col min="1338" max="1344" width="6" bestFit="1" customWidth="1"/>
    <col min="1345" max="1345" width="4" bestFit="1" customWidth="1"/>
    <col min="1346" max="1346" width="6" bestFit="1" customWidth="1"/>
    <col min="1347" max="1347" width="4" bestFit="1" customWidth="1"/>
    <col min="1348" max="1350" width="6" bestFit="1" customWidth="1"/>
    <col min="1351" max="1351" width="4" bestFit="1" customWidth="1"/>
    <col min="1352" max="1352" width="6" bestFit="1" customWidth="1"/>
    <col min="1353" max="1353" width="4" bestFit="1" customWidth="1"/>
    <col min="1354" max="1355" width="6" bestFit="1" customWidth="1"/>
    <col min="1356" max="1356" width="4" bestFit="1" customWidth="1"/>
    <col min="1357" max="1360" width="6" bestFit="1" customWidth="1"/>
    <col min="1361" max="1361" width="4" bestFit="1" customWidth="1"/>
    <col min="1362" max="1368" width="6" bestFit="1" customWidth="1"/>
    <col min="1369" max="1369" width="4" bestFit="1" customWidth="1"/>
    <col min="1370" max="1374" width="6" bestFit="1" customWidth="1"/>
    <col min="1375" max="1375" width="4" bestFit="1" customWidth="1"/>
    <col min="1376" max="1382" width="6" bestFit="1" customWidth="1"/>
    <col min="1383" max="1383" width="4" bestFit="1" customWidth="1"/>
    <col min="1384" max="1386" width="6" bestFit="1" customWidth="1"/>
    <col min="1387" max="1387" width="4" bestFit="1" customWidth="1"/>
    <col min="1388" max="1390" width="6" bestFit="1" customWidth="1"/>
    <col min="1391" max="1391" width="4" bestFit="1" customWidth="1"/>
    <col min="1392" max="1396" width="6" bestFit="1" customWidth="1"/>
    <col min="1397" max="1397" width="4" bestFit="1" customWidth="1"/>
    <col min="1398" max="1404" width="6" bestFit="1" customWidth="1"/>
    <col min="1405" max="1405" width="4" bestFit="1" customWidth="1"/>
    <col min="1406" max="1406" width="6" bestFit="1" customWidth="1"/>
    <col min="1407" max="1407" width="4" bestFit="1" customWidth="1"/>
    <col min="1408" max="1423" width="6" bestFit="1" customWidth="1"/>
    <col min="1424" max="1424" width="4" bestFit="1" customWidth="1"/>
    <col min="1425" max="1429" width="6" bestFit="1" customWidth="1"/>
    <col min="1430" max="1430" width="4" bestFit="1" customWidth="1"/>
    <col min="1431" max="1442" width="6" bestFit="1" customWidth="1"/>
    <col min="1443" max="1444" width="4" bestFit="1" customWidth="1"/>
    <col min="1445" max="1446" width="6" bestFit="1" customWidth="1"/>
    <col min="1447" max="1447" width="4" bestFit="1" customWidth="1"/>
    <col min="1448" max="1449" width="6" bestFit="1" customWidth="1"/>
    <col min="1450" max="1451" width="4" bestFit="1" customWidth="1"/>
    <col min="1452" max="1454" width="6" bestFit="1" customWidth="1"/>
    <col min="1455" max="1456" width="4" bestFit="1" customWidth="1"/>
    <col min="1457" max="1460" width="6" bestFit="1" customWidth="1"/>
    <col min="1461" max="1461" width="4" bestFit="1" customWidth="1"/>
    <col min="1462" max="1467" width="6" bestFit="1" customWidth="1"/>
    <col min="1468" max="1469" width="4" bestFit="1" customWidth="1"/>
    <col min="1470" max="1470" width="6" bestFit="1" customWidth="1"/>
    <col min="1471" max="1471" width="4" bestFit="1" customWidth="1"/>
    <col min="1472" max="1473" width="6" bestFit="1" customWidth="1"/>
    <col min="1474" max="1474" width="4" bestFit="1" customWidth="1"/>
    <col min="1475" max="1475" width="6" bestFit="1" customWidth="1"/>
    <col min="1476" max="1476" width="4" bestFit="1" customWidth="1"/>
    <col min="1477" max="1486" width="6" bestFit="1" customWidth="1"/>
    <col min="1487" max="1487" width="4" bestFit="1" customWidth="1"/>
    <col min="1488" max="1489" width="6" bestFit="1" customWidth="1"/>
    <col min="1490" max="1490" width="4" bestFit="1" customWidth="1"/>
    <col min="1491" max="1499" width="6" bestFit="1" customWidth="1"/>
    <col min="1500" max="1501" width="4" bestFit="1" customWidth="1"/>
    <col min="1502" max="1502" width="6" bestFit="1" customWidth="1"/>
    <col min="1503" max="1503" width="4" bestFit="1" customWidth="1"/>
    <col min="1504" max="1506" width="6" bestFit="1" customWidth="1"/>
    <col min="1507" max="1509" width="4" bestFit="1" customWidth="1"/>
    <col min="1510" max="1512" width="6" bestFit="1" customWidth="1"/>
    <col min="1513" max="1513" width="4" bestFit="1" customWidth="1"/>
    <col min="1514" max="1516" width="6" bestFit="1" customWidth="1"/>
    <col min="1517" max="1517" width="4" bestFit="1" customWidth="1"/>
    <col min="1518" max="1522" width="6" bestFit="1" customWidth="1"/>
    <col min="1523" max="1523" width="4" bestFit="1" customWidth="1"/>
    <col min="1524" max="1536" width="6" bestFit="1" customWidth="1"/>
    <col min="1537" max="1537" width="4" bestFit="1" customWidth="1"/>
    <col min="1538" max="1539" width="6" bestFit="1" customWidth="1"/>
    <col min="1540" max="1541" width="4" bestFit="1" customWidth="1"/>
    <col min="1542" max="1544" width="6" bestFit="1" customWidth="1"/>
    <col min="1545" max="1545" width="4" bestFit="1" customWidth="1"/>
    <col min="1546" max="1546" width="6" bestFit="1" customWidth="1"/>
    <col min="1547" max="1547" width="4" bestFit="1" customWidth="1"/>
    <col min="1548" max="1548" width="6" bestFit="1" customWidth="1"/>
    <col min="1549" max="1549" width="4" bestFit="1" customWidth="1"/>
    <col min="1550" max="1550" width="6" bestFit="1" customWidth="1"/>
    <col min="1551" max="1551" width="4" bestFit="1" customWidth="1"/>
    <col min="1552" max="1554" width="6" bestFit="1" customWidth="1"/>
    <col min="1555" max="1555" width="4" bestFit="1" customWidth="1"/>
    <col min="1556" max="1562" width="6" bestFit="1" customWidth="1"/>
    <col min="1563" max="1563" width="4" bestFit="1" customWidth="1"/>
    <col min="1564" max="1568" width="6" bestFit="1" customWidth="1"/>
    <col min="1569" max="1569" width="4" bestFit="1" customWidth="1"/>
    <col min="1570" max="1572" width="6" bestFit="1" customWidth="1"/>
    <col min="1573" max="1573" width="4" bestFit="1" customWidth="1"/>
    <col min="1574" max="1575" width="6" bestFit="1" customWidth="1"/>
    <col min="1576" max="1576" width="4" bestFit="1" customWidth="1"/>
    <col min="1577" max="1577" width="6" bestFit="1" customWidth="1"/>
    <col min="1578" max="1578" width="4" bestFit="1" customWidth="1"/>
    <col min="1579" max="1592" width="6" bestFit="1" customWidth="1"/>
    <col min="1593" max="1594" width="4" bestFit="1" customWidth="1"/>
    <col min="1595" max="1595" width="6" bestFit="1" customWidth="1"/>
    <col min="1596" max="1596" width="4" bestFit="1" customWidth="1"/>
    <col min="1597" max="1600" width="6" bestFit="1" customWidth="1"/>
    <col min="1601" max="1601" width="4" bestFit="1" customWidth="1"/>
    <col min="1602" max="1606" width="6" bestFit="1" customWidth="1"/>
    <col min="1607" max="1608" width="4" bestFit="1" customWidth="1"/>
    <col min="1609" max="1614" width="6" bestFit="1" customWidth="1"/>
    <col min="1615" max="1615" width="4" bestFit="1" customWidth="1"/>
    <col min="1616" max="1616" width="6" bestFit="1" customWidth="1"/>
    <col min="1617" max="1621" width="4" bestFit="1" customWidth="1"/>
    <col min="1622" max="1623" width="6" bestFit="1" customWidth="1"/>
    <col min="1624" max="1625" width="4" bestFit="1" customWidth="1"/>
    <col min="1626" max="1628" width="6" bestFit="1" customWidth="1"/>
    <col min="1629" max="1629" width="4" bestFit="1" customWidth="1"/>
    <col min="1630" max="1636" width="6" bestFit="1" customWidth="1"/>
    <col min="1637" max="1637" width="4" bestFit="1" customWidth="1"/>
    <col min="1638" max="1641" width="6" bestFit="1" customWidth="1"/>
    <col min="1642" max="1642" width="4" bestFit="1" customWidth="1"/>
    <col min="1643" max="1643" width="6" bestFit="1" customWidth="1"/>
    <col min="1644" max="1644" width="4" bestFit="1" customWidth="1"/>
    <col min="1645" max="1645" width="6" bestFit="1" customWidth="1"/>
    <col min="1646" max="1646" width="4" bestFit="1" customWidth="1"/>
    <col min="1647" max="1656" width="6" bestFit="1" customWidth="1"/>
    <col min="1657" max="1659" width="4" bestFit="1" customWidth="1"/>
    <col min="1660" max="1660" width="6" bestFit="1" customWidth="1"/>
    <col min="1661" max="1661" width="4" bestFit="1" customWidth="1"/>
    <col min="1662" max="1664" width="6" bestFit="1" customWidth="1"/>
    <col min="1665" max="1666" width="4" bestFit="1" customWidth="1"/>
    <col min="1667" max="1667" width="5" bestFit="1" customWidth="1"/>
    <col min="1668" max="1671" width="7" bestFit="1" customWidth="1"/>
    <col min="1672" max="1672" width="5" bestFit="1" customWidth="1"/>
    <col min="1673" max="1673" width="7" bestFit="1" customWidth="1"/>
    <col min="1674" max="1674" width="5" bestFit="1" customWidth="1"/>
    <col min="1675" max="1675" width="7" bestFit="1" customWidth="1"/>
    <col min="1676" max="1677" width="5" bestFit="1" customWidth="1"/>
    <col min="1678" max="1678" width="7" bestFit="1" customWidth="1"/>
    <col min="1679" max="1679" width="5" bestFit="1" customWidth="1"/>
    <col min="1680" max="1682" width="7" bestFit="1" customWidth="1"/>
    <col min="1683" max="1683" width="5" bestFit="1" customWidth="1"/>
    <col min="1684" max="1689" width="7" bestFit="1" customWidth="1"/>
    <col min="1690" max="1693" width="5" bestFit="1" customWidth="1"/>
    <col min="1694" max="1696" width="7" bestFit="1" customWidth="1"/>
    <col min="1697" max="1697" width="5" bestFit="1" customWidth="1"/>
    <col min="1698" max="1706" width="7" bestFit="1" customWidth="1"/>
    <col min="1707" max="1708" width="5" bestFit="1" customWidth="1"/>
    <col min="1709" max="1710" width="7" bestFit="1" customWidth="1"/>
    <col min="1711" max="1715" width="5" bestFit="1" customWidth="1"/>
    <col min="1716" max="1717" width="7" bestFit="1" customWidth="1"/>
    <col min="1718" max="1719" width="5" bestFit="1" customWidth="1"/>
    <col min="1720" max="1720" width="7" bestFit="1" customWidth="1"/>
    <col min="1721" max="1721" width="5" bestFit="1" customWidth="1"/>
    <col min="1722" max="1733" width="7" bestFit="1" customWidth="1"/>
    <col min="1734" max="1734" width="5" bestFit="1" customWidth="1"/>
    <col min="1735" max="1735" width="7" bestFit="1" customWidth="1"/>
    <col min="1736" max="1737" width="5" bestFit="1" customWidth="1"/>
    <col min="1738" max="1738" width="7" bestFit="1" customWidth="1"/>
    <col min="1739" max="1739" width="5" bestFit="1" customWidth="1"/>
    <col min="1740" max="1741" width="7" bestFit="1" customWidth="1"/>
    <col min="1742" max="1742" width="5" bestFit="1" customWidth="1"/>
    <col min="1743" max="1744" width="7" bestFit="1" customWidth="1"/>
    <col min="1745" max="1751" width="5" bestFit="1" customWidth="1"/>
    <col min="1752" max="1753" width="7" bestFit="1" customWidth="1"/>
    <col min="1754" max="1754" width="5" bestFit="1" customWidth="1"/>
    <col min="1755" max="1756" width="7" bestFit="1" customWidth="1"/>
    <col min="1757" max="1757" width="5" bestFit="1" customWidth="1"/>
    <col min="1758" max="1763" width="7" bestFit="1" customWidth="1"/>
    <col min="1764" max="1764" width="5" bestFit="1" customWidth="1"/>
    <col min="1765" max="1765" width="7" bestFit="1" customWidth="1"/>
    <col min="1766" max="1766" width="10.5546875" bestFit="1" customWidth="1"/>
    <col min="1767" max="1805" width="4" bestFit="1" customWidth="1"/>
    <col min="1806" max="1815" width="5" bestFit="1" customWidth="1"/>
    <col min="1816" max="1816" width="7.44140625" bestFit="1" customWidth="1"/>
    <col min="1817" max="1825" width="6" bestFit="1" customWidth="1"/>
    <col min="1826" max="1826" width="4" bestFit="1" customWidth="1"/>
    <col min="1827" max="1833" width="6" bestFit="1" customWidth="1"/>
    <col min="1834" max="1834" width="4" bestFit="1" customWidth="1"/>
    <col min="1835" max="1849" width="6" bestFit="1" customWidth="1"/>
    <col min="1850" max="1852" width="7" bestFit="1" customWidth="1"/>
    <col min="1853" max="1853" width="7.44140625" bestFit="1" customWidth="1"/>
    <col min="1854" max="1858" width="6" bestFit="1" customWidth="1"/>
    <col min="1859" max="1859" width="4" bestFit="1" customWidth="1"/>
    <col min="1860" max="1882" width="6" bestFit="1" customWidth="1"/>
    <col min="1883" max="1883" width="5" bestFit="1" customWidth="1"/>
    <col min="1884" max="1884" width="7" bestFit="1" customWidth="1"/>
    <col min="1885" max="1885" width="5" bestFit="1" customWidth="1"/>
    <col min="1886" max="1886" width="7.44140625" bestFit="1" customWidth="1"/>
    <col min="1887" max="1894" width="6" bestFit="1" customWidth="1"/>
    <col min="1895" max="1895" width="4" bestFit="1" customWidth="1"/>
    <col min="1896" max="1904" width="6" bestFit="1" customWidth="1"/>
    <col min="1905" max="1908" width="7" bestFit="1" customWidth="1"/>
    <col min="1909" max="1909" width="7.44140625" bestFit="1" customWidth="1"/>
    <col min="1910" max="1910" width="6" bestFit="1" customWidth="1"/>
    <col min="1911" max="1911" width="4" bestFit="1" customWidth="1"/>
    <col min="1912" max="1916" width="6" bestFit="1" customWidth="1"/>
    <col min="1917" max="1918" width="4" bestFit="1" customWidth="1"/>
    <col min="1919" max="1919" width="6" bestFit="1" customWidth="1"/>
    <col min="1920" max="1920" width="4" bestFit="1" customWidth="1"/>
    <col min="1921" max="1922" width="6" bestFit="1" customWidth="1"/>
    <col min="1923" max="1925" width="7" bestFit="1" customWidth="1"/>
    <col min="1926" max="1926" width="5" bestFit="1" customWidth="1"/>
    <col min="1927" max="1927" width="7.44140625" bestFit="1" customWidth="1"/>
    <col min="1928" max="1928" width="4.6640625" bestFit="1" customWidth="1"/>
    <col min="1929" max="1934" width="4" bestFit="1" customWidth="1"/>
    <col min="1935" max="1936" width="6" bestFit="1" customWidth="1"/>
    <col min="1937" max="1937" width="4" bestFit="1" customWidth="1"/>
    <col min="1938" max="1939" width="5" bestFit="1" customWidth="1"/>
    <col min="1940" max="1942" width="7" bestFit="1" customWidth="1"/>
    <col min="1943" max="1943" width="7.44140625" bestFit="1" customWidth="1"/>
    <col min="1944" max="1944" width="6" bestFit="1" customWidth="1"/>
    <col min="1945" max="1945" width="4" bestFit="1" customWidth="1"/>
    <col min="1946" max="1946" width="6" bestFit="1" customWidth="1"/>
    <col min="1947" max="1947" width="4" bestFit="1" customWidth="1"/>
    <col min="1948" max="1948" width="6" bestFit="1" customWidth="1"/>
    <col min="1949" max="1949" width="4" bestFit="1" customWidth="1"/>
    <col min="1950" max="1952" width="6" bestFit="1" customWidth="1"/>
    <col min="1953" max="1956" width="7" bestFit="1" customWidth="1"/>
    <col min="1957" max="1957" width="7.44140625" bestFit="1" customWidth="1"/>
    <col min="1958" max="1961" width="6" bestFit="1" customWidth="1"/>
    <col min="1962" max="1964" width="7" bestFit="1" customWidth="1"/>
    <col min="1965" max="1966" width="5" bestFit="1" customWidth="1"/>
    <col min="1967" max="1967" width="7" bestFit="1" customWidth="1"/>
    <col min="1968" max="1968" width="7.44140625" bestFit="1" customWidth="1"/>
    <col min="1969" max="1975" width="6" bestFit="1" customWidth="1"/>
    <col min="1976" max="1976" width="4" bestFit="1" customWidth="1"/>
    <col min="1977" max="1978" width="7" bestFit="1" customWidth="1"/>
    <col min="1979" max="1979" width="7.44140625" bestFit="1" customWidth="1"/>
    <col min="1980" max="1984" width="6" bestFit="1" customWidth="1"/>
    <col min="1985" max="1985" width="7" bestFit="1" customWidth="1"/>
    <col min="1986" max="1986" width="5" bestFit="1" customWidth="1"/>
    <col min="1987" max="1992" width="7" bestFit="1" customWidth="1"/>
    <col min="1993" max="1993" width="7.44140625" bestFit="1" customWidth="1"/>
    <col min="1994" max="1994" width="4.6640625" bestFit="1" customWidth="1"/>
    <col min="1995" max="1995" width="4" bestFit="1" customWidth="1"/>
    <col min="1996" max="1997" width="5" bestFit="1" customWidth="1"/>
    <col min="1998" max="1998" width="7.44140625" bestFit="1" customWidth="1"/>
    <col min="1999" max="2000" width="6" bestFit="1" customWidth="1"/>
    <col min="2001" max="2002" width="7" bestFit="1" customWidth="1"/>
    <col min="2003" max="2003" width="7.44140625" bestFit="1" customWidth="1"/>
    <col min="2004" max="2004" width="6" bestFit="1" customWidth="1"/>
    <col min="2005" max="2005" width="7" bestFit="1" customWidth="1"/>
    <col min="2006" max="2007" width="5" bestFit="1" customWidth="1"/>
    <col min="2008" max="2008" width="7.44140625" bestFit="1" customWidth="1"/>
    <col min="2009" max="2010" width="6" bestFit="1" customWidth="1"/>
    <col min="2011" max="2012" width="7" bestFit="1" customWidth="1"/>
    <col min="2013" max="2013" width="7.44140625" bestFit="1" customWidth="1"/>
    <col min="2014" max="2014" width="6" bestFit="1" customWidth="1"/>
    <col min="2015" max="2016" width="5" bestFit="1" customWidth="1"/>
    <col min="2017" max="2017" width="7.44140625" bestFit="1" customWidth="1"/>
    <col min="2018" max="2019" width="5" bestFit="1" customWidth="1"/>
    <col min="2020" max="2020" width="7" bestFit="1" customWidth="1"/>
    <col min="2021" max="2021" width="7.44140625" bestFit="1" customWidth="1"/>
    <col min="2022" max="2024" width="6" bestFit="1" customWidth="1"/>
    <col min="2025" max="2025" width="7" bestFit="1" customWidth="1"/>
    <col min="2026" max="2026" width="7.44140625" bestFit="1" customWidth="1"/>
    <col min="2027" max="2028" width="7" bestFit="1" customWidth="1"/>
    <col min="2029" max="2029" width="5" bestFit="1" customWidth="1"/>
    <col min="2030" max="2030" width="7" bestFit="1" customWidth="1"/>
    <col min="2031" max="2031" width="7.44140625" bestFit="1" customWidth="1"/>
    <col min="2032" max="2033" width="6" bestFit="1" customWidth="1"/>
    <col min="2034" max="2034" width="5" bestFit="1" customWidth="1"/>
    <col min="2035" max="2035" width="7" bestFit="1" customWidth="1"/>
    <col min="2036" max="2036" width="5" bestFit="1" customWidth="1"/>
    <col min="2037" max="2037" width="7.44140625" bestFit="1" customWidth="1"/>
    <col min="2038" max="2038" width="6" bestFit="1" customWidth="1"/>
    <col min="2039" max="2039" width="7" bestFit="1" customWidth="1"/>
    <col min="2040" max="2040" width="7.44140625" bestFit="1" customWidth="1"/>
    <col min="2041" max="2041" width="4.6640625" bestFit="1" customWidth="1"/>
    <col min="2042" max="2044" width="5" bestFit="1" customWidth="1"/>
    <col min="2045" max="2045" width="7.44140625" bestFit="1" customWidth="1"/>
    <col min="2046" max="2046" width="6" bestFit="1" customWidth="1"/>
    <col min="2047" max="2047" width="7.44140625" bestFit="1" customWidth="1"/>
    <col min="2048" max="2048" width="6" bestFit="1" customWidth="1"/>
    <col min="2049" max="2049" width="7.44140625" bestFit="1" customWidth="1"/>
    <col min="2050" max="2050" width="7" bestFit="1" customWidth="1"/>
    <col min="2051" max="2051" width="7.44140625" bestFit="1" customWidth="1"/>
    <col min="2052" max="2053" width="7" bestFit="1" customWidth="1"/>
    <col min="2054" max="2054" width="7.44140625" bestFit="1" customWidth="1"/>
    <col min="2055" max="2055" width="5" bestFit="1" customWidth="1"/>
    <col min="2056" max="2056" width="7" bestFit="1" customWidth="1"/>
    <col min="2057" max="2057" width="7.44140625" bestFit="1" customWidth="1"/>
    <col min="2058" max="2059" width="7" bestFit="1" customWidth="1"/>
    <col min="2060" max="2060" width="7.44140625" bestFit="1" customWidth="1"/>
    <col min="2061" max="2061" width="6" bestFit="1" customWidth="1"/>
    <col min="2062" max="2062" width="7.44140625" bestFit="1" customWidth="1"/>
    <col min="2063" max="2063" width="5" bestFit="1" customWidth="1"/>
    <col min="2064" max="2064" width="7.44140625" bestFit="1" customWidth="1"/>
    <col min="2065" max="2065" width="7" bestFit="1" customWidth="1"/>
    <col min="2066" max="2066" width="7.44140625" bestFit="1" customWidth="1"/>
    <col min="2067" max="2067" width="7" bestFit="1" customWidth="1"/>
    <col min="2068" max="2068" width="7.44140625" bestFit="1" customWidth="1"/>
    <col min="2069" max="2069" width="7" bestFit="1" customWidth="1"/>
    <col min="2070" max="2070" width="7.44140625" bestFit="1" customWidth="1"/>
    <col min="2071" max="2071" width="5" bestFit="1" customWidth="1"/>
    <col min="2072" max="2072" width="7.44140625" bestFit="1" customWidth="1"/>
    <col min="2073" max="2073" width="7" bestFit="1" customWidth="1"/>
    <col min="2074" max="2074" width="7.44140625" bestFit="1" customWidth="1"/>
    <col min="2075" max="2075" width="7" bestFit="1" customWidth="1"/>
    <col min="2076" max="2076" width="7.44140625" bestFit="1" customWidth="1"/>
    <col min="2077" max="2077" width="7" bestFit="1" customWidth="1"/>
    <col min="2078" max="2078" width="7.44140625" bestFit="1" customWidth="1"/>
    <col min="2079" max="2079" width="7" bestFit="1" customWidth="1"/>
    <col min="2080" max="2080" width="7.44140625" bestFit="1" customWidth="1"/>
    <col min="2081" max="2081" width="5" bestFit="1" customWidth="1"/>
    <col min="2082" max="2082" width="7.44140625" bestFit="1" customWidth="1"/>
    <col min="2083" max="2083" width="7" bestFit="1" customWidth="1"/>
    <col min="2084" max="2084" width="7.44140625" bestFit="1" customWidth="1"/>
    <col min="2085" max="2085" width="10.5546875" bestFit="1" customWidth="1"/>
  </cols>
  <sheetData>
    <row r="2" spans="1:18" x14ac:dyDescent="0.3">
      <c r="J2" t="s">
        <v>2539</v>
      </c>
      <c r="P2" t="s">
        <v>2540</v>
      </c>
    </row>
    <row r="3" spans="1:18" x14ac:dyDescent="0.3">
      <c r="A3" s="5" t="s">
        <v>10</v>
      </c>
      <c r="B3" s="5" t="s">
        <v>11</v>
      </c>
      <c r="C3" t="s">
        <v>2523</v>
      </c>
      <c r="D3" t="s">
        <v>2528</v>
      </c>
      <c r="J3" s="13" t="s">
        <v>10</v>
      </c>
      <c r="K3" s="13" t="s">
        <v>11</v>
      </c>
      <c r="L3" s="13" t="s">
        <v>2523</v>
      </c>
      <c r="P3" s="13" t="s">
        <v>10</v>
      </c>
      <c r="Q3" s="13" t="s">
        <v>11</v>
      </c>
      <c r="R3" s="13" t="s">
        <v>2528</v>
      </c>
    </row>
    <row r="4" spans="1:18" x14ac:dyDescent="0.3">
      <c r="A4" t="s">
        <v>19</v>
      </c>
      <c r="B4" t="s">
        <v>115</v>
      </c>
      <c r="C4">
        <v>194</v>
      </c>
      <c r="D4">
        <v>11126.900000000001</v>
      </c>
      <c r="J4" s="12" t="str">
        <f>IF(A4="","",A4)</f>
        <v>California</v>
      </c>
      <c r="K4" t="str">
        <f>IF(B4="","",B4)</f>
        <v>Alameda County</v>
      </c>
      <c r="L4">
        <f>IF(C4="","",C4)</f>
        <v>194</v>
      </c>
      <c r="P4" s="12" t="str">
        <f>IF(A4="","",A4)</f>
        <v>California</v>
      </c>
      <c r="Q4" t="str">
        <f>IF(B4="","",B4)</f>
        <v>Alameda County</v>
      </c>
      <c r="R4">
        <f>IF(D4="","",D4)</f>
        <v>11126.900000000001</v>
      </c>
    </row>
    <row r="5" spans="1:18" x14ac:dyDescent="0.3">
      <c r="A5" t="s">
        <v>19</v>
      </c>
      <c r="B5" t="s">
        <v>641</v>
      </c>
      <c r="C5">
        <v>3</v>
      </c>
      <c r="D5">
        <v>323.39999999999998</v>
      </c>
      <c r="J5" s="12" t="str">
        <f t="shared" ref="J5:J61" si="0">IF(A5="","",A5)</f>
        <v>California</v>
      </c>
      <c r="K5" t="str">
        <f>IF(B5="","",B5)</f>
        <v>Amador County</v>
      </c>
      <c r="L5">
        <f t="shared" ref="L5:L61" si="1">IF(C5="","",C5)</f>
        <v>3</v>
      </c>
      <c r="P5" s="12" t="str">
        <f t="shared" ref="P5:P61" si="2">IF(A5="","",A5)</f>
        <v>California</v>
      </c>
      <c r="Q5" t="str">
        <f t="shared" ref="Q5:Q61" si="3">IF(B5="","",B5)</f>
        <v>Amador County</v>
      </c>
      <c r="R5">
        <f t="shared" ref="R5:R61" si="4">IF(D5="","",D5)</f>
        <v>323.39999999999998</v>
      </c>
    </row>
    <row r="6" spans="1:18" x14ac:dyDescent="0.3">
      <c r="A6" t="s">
        <v>19</v>
      </c>
      <c r="B6" t="s">
        <v>967</v>
      </c>
      <c r="C6">
        <v>3</v>
      </c>
      <c r="D6">
        <v>253.5</v>
      </c>
      <c r="J6" s="12" t="str">
        <f t="shared" si="0"/>
        <v>California</v>
      </c>
      <c r="K6" t="str">
        <f t="shared" ref="K6:K61" si="5">IF(B6="","",B6)</f>
        <v>Butte County</v>
      </c>
      <c r="L6">
        <f t="shared" si="1"/>
        <v>3</v>
      </c>
      <c r="P6" s="12" t="str">
        <f t="shared" si="2"/>
        <v>California</v>
      </c>
      <c r="Q6" t="str">
        <f t="shared" si="3"/>
        <v>Butte County</v>
      </c>
      <c r="R6">
        <f t="shared" si="4"/>
        <v>253.5</v>
      </c>
    </row>
    <row r="7" spans="1:18" x14ac:dyDescent="0.3">
      <c r="A7" t="s">
        <v>19</v>
      </c>
      <c r="B7" t="s">
        <v>84</v>
      </c>
      <c r="C7">
        <v>7</v>
      </c>
      <c r="D7">
        <v>133.70000000000002</v>
      </c>
      <c r="J7" s="12" t="str">
        <f t="shared" si="0"/>
        <v>California</v>
      </c>
      <c r="K7" t="str">
        <f t="shared" si="5"/>
        <v>Calaveras County</v>
      </c>
      <c r="L7">
        <f t="shared" si="1"/>
        <v>7</v>
      </c>
      <c r="P7" s="12" t="str">
        <f t="shared" si="2"/>
        <v>California</v>
      </c>
      <c r="Q7" t="str">
        <f t="shared" si="3"/>
        <v>Calaveras County</v>
      </c>
      <c r="R7">
        <f t="shared" si="4"/>
        <v>133.70000000000002</v>
      </c>
    </row>
    <row r="8" spans="1:18" x14ac:dyDescent="0.3">
      <c r="A8" t="s">
        <v>19</v>
      </c>
      <c r="B8" t="s">
        <v>1383</v>
      </c>
      <c r="C8">
        <v>1</v>
      </c>
      <c r="D8">
        <v>40.299999999999997</v>
      </c>
      <c r="J8" s="12" t="str">
        <f t="shared" si="0"/>
        <v>California</v>
      </c>
      <c r="K8" t="str">
        <f t="shared" si="5"/>
        <v>Colusa County</v>
      </c>
      <c r="L8">
        <f t="shared" si="1"/>
        <v>1</v>
      </c>
      <c r="P8" s="12" t="str">
        <f t="shared" si="2"/>
        <v>California</v>
      </c>
      <c r="Q8" t="str">
        <f t="shared" si="3"/>
        <v>Colusa County</v>
      </c>
      <c r="R8">
        <f t="shared" si="4"/>
        <v>40.299999999999997</v>
      </c>
    </row>
    <row r="9" spans="1:18" x14ac:dyDescent="0.3">
      <c r="A9" t="s">
        <v>19</v>
      </c>
      <c r="B9" t="s">
        <v>24</v>
      </c>
      <c r="C9">
        <v>149</v>
      </c>
      <c r="D9">
        <v>6937.9</v>
      </c>
      <c r="J9" s="12" t="str">
        <f t="shared" si="0"/>
        <v>California</v>
      </c>
      <c r="K9" t="str">
        <f t="shared" si="5"/>
        <v>Contra Costa County</v>
      </c>
      <c r="L9">
        <f t="shared" si="1"/>
        <v>149</v>
      </c>
      <c r="P9" s="12" t="str">
        <f t="shared" si="2"/>
        <v>California</v>
      </c>
      <c r="Q9" t="str">
        <f t="shared" si="3"/>
        <v>Contra Costa County</v>
      </c>
      <c r="R9">
        <f t="shared" si="4"/>
        <v>6937.9</v>
      </c>
    </row>
    <row r="10" spans="1:18" x14ac:dyDescent="0.3">
      <c r="A10" t="s">
        <v>19</v>
      </c>
      <c r="B10" t="s">
        <v>2204</v>
      </c>
      <c r="C10">
        <v>13</v>
      </c>
      <c r="D10">
        <v>322.40000000000003</v>
      </c>
      <c r="J10" s="12" t="str">
        <f t="shared" si="0"/>
        <v>California</v>
      </c>
      <c r="K10" t="str">
        <f t="shared" si="5"/>
        <v>Del Norte County</v>
      </c>
      <c r="L10">
        <f t="shared" si="1"/>
        <v>13</v>
      </c>
      <c r="P10" s="12" t="str">
        <f t="shared" si="2"/>
        <v>California</v>
      </c>
      <c r="Q10" t="str">
        <f t="shared" si="3"/>
        <v>Del Norte County</v>
      </c>
      <c r="R10">
        <f t="shared" si="4"/>
        <v>322.40000000000003</v>
      </c>
    </row>
    <row r="11" spans="1:18" x14ac:dyDescent="0.3">
      <c r="A11" t="s">
        <v>19</v>
      </c>
      <c r="B11" t="s">
        <v>437</v>
      </c>
      <c r="C11">
        <v>9</v>
      </c>
      <c r="D11">
        <v>839</v>
      </c>
      <c r="J11" s="12" t="str">
        <f t="shared" si="0"/>
        <v>California</v>
      </c>
      <c r="K11" t="str">
        <f t="shared" si="5"/>
        <v>El Dorado County</v>
      </c>
      <c r="L11">
        <f t="shared" si="1"/>
        <v>9</v>
      </c>
      <c r="P11" s="12" t="str">
        <f t="shared" si="2"/>
        <v>California</v>
      </c>
      <c r="Q11" t="str">
        <f t="shared" si="3"/>
        <v>El Dorado County</v>
      </c>
      <c r="R11">
        <f t="shared" si="4"/>
        <v>839</v>
      </c>
    </row>
    <row r="12" spans="1:18" x14ac:dyDescent="0.3">
      <c r="A12" t="s">
        <v>19</v>
      </c>
      <c r="B12" t="s">
        <v>28</v>
      </c>
      <c r="C12">
        <v>104</v>
      </c>
      <c r="D12">
        <v>3691.6</v>
      </c>
      <c r="J12" s="12" t="str">
        <f t="shared" si="0"/>
        <v>California</v>
      </c>
      <c r="K12" t="str">
        <f t="shared" si="5"/>
        <v>Fresno County</v>
      </c>
      <c r="L12">
        <f t="shared" si="1"/>
        <v>104</v>
      </c>
      <c r="P12" s="12" t="str">
        <f t="shared" si="2"/>
        <v>California</v>
      </c>
      <c r="Q12" t="str">
        <f t="shared" si="3"/>
        <v>Fresno County</v>
      </c>
      <c r="R12">
        <f t="shared" si="4"/>
        <v>3691.6</v>
      </c>
    </row>
    <row r="13" spans="1:18" x14ac:dyDescent="0.3">
      <c r="A13" t="s">
        <v>19</v>
      </c>
      <c r="B13" t="s">
        <v>208</v>
      </c>
      <c r="C13">
        <v>7</v>
      </c>
      <c r="D13">
        <v>245.6</v>
      </c>
      <c r="J13" s="12" t="str">
        <f t="shared" si="0"/>
        <v>California</v>
      </c>
      <c r="K13" t="str">
        <f t="shared" si="5"/>
        <v>Glenn County</v>
      </c>
      <c r="L13">
        <f t="shared" si="1"/>
        <v>7</v>
      </c>
      <c r="P13" s="12" t="str">
        <f t="shared" si="2"/>
        <v>California</v>
      </c>
      <c r="Q13" t="str">
        <f t="shared" si="3"/>
        <v>Glenn County</v>
      </c>
      <c r="R13">
        <f t="shared" si="4"/>
        <v>245.6</v>
      </c>
    </row>
    <row r="14" spans="1:18" x14ac:dyDescent="0.3">
      <c r="A14" t="s">
        <v>19</v>
      </c>
      <c r="B14" t="s">
        <v>587</v>
      </c>
      <c r="C14">
        <v>9</v>
      </c>
      <c r="D14">
        <v>292.89999999999998</v>
      </c>
      <c r="J14" s="12" t="str">
        <f t="shared" si="0"/>
        <v>California</v>
      </c>
      <c r="K14" t="str">
        <f t="shared" si="5"/>
        <v>Humboldt County</v>
      </c>
      <c r="L14">
        <f t="shared" si="1"/>
        <v>9</v>
      </c>
      <c r="P14" s="12" t="str">
        <f t="shared" si="2"/>
        <v>California</v>
      </c>
      <c r="Q14" t="str">
        <f t="shared" si="3"/>
        <v>Humboldt County</v>
      </c>
      <c r="R14">
        <f t="shared" si="4"/>
        <v>292.89999999999998</v>
      </c>
    </row>
    <row r="15" spans="1:18" x14ac:dyDescent="0.3">
      <c r="A15" t="s">
        <v>19</v>
      </c>
      <c r="B15" t="s">
        <v>331</v>
      </c>
      <c r="C15">
        <v>28</v>
      </c>
      <c r="D15">
        <v>1079.5</v>
      </c>
      <c r="J15" s="12" t="str">
        <f t="shared" si="0"/>
        <v>California</v>
      </c>
      <c r="K15" t="str">
        <f t="shared" si="5"/>
        <v>Imperial County</v>
      </c>
      <c r="L15">
        <f t="shared" si="1"/>
        <v>28</v>
      </c>
      <c r="P15" s="12" t="str">
        <f t="shared" si="2"/>
        <v>California</v>
      </c>
      <c r="Q15" t="str">
        <f t="shared" si="3"/>
        <v>Imperial County</v>
      </c>
      <c r="R15">
        <f t="shared" si="4"/>
        <v>1079.5</v>
      </c>
    </row>
    <row r="16" spans="1:18" x14ac:dyDescent="0.3">
      <c r="A16" t="s">
        <v>19</v>
      </c>
      <c r="B16" t="s">
        <v>86</v>
      </c>
      <c r="C16">
        <v>8</v>
      </c>
      <c r="D16">
        <v>887.5</v>
      </c>
      <c r="J16" s="12" t="str">
        <f t="shared" si="0"/>
        <v>California</v>
      </c>
      <c r="K16" t="str">
        <f t="shared" si="5"/>
        <v>Inyo County</v>
      </c>
      <c r="L16">
        <f t="shared" si="1"/>
        <v>8</v>
      </c>
      <c r="P16" s="12" t="str">
        <f t="shared" si="2"/>
        <v>California</v>
      </c>
      <c r="Q16" t="str">
        <f t="shared" si="3"/>
        <v>Inyo County</v>
      </c>
      <c r="R16">
        <f t="shared" si="4"/>
        <v>887.5</v>
      </c>
    </row>
    <row r="17" spans="1:18" x14ac:dyDescent="0.3">
      <c r="A17" t="s">
        <v>19</v>
      </c>
      <c r="B17" t="s">
        <v>147</v>
      </c>
      <c r="C17">
        <v>102</v>
      </c>
      <c r="D17">
        <v>4994.3999999999996</v>
      </c>
      <c r="J17" s="12" t="str">
        <f t="shared" si="0"/>
        <v>California</v>
      </c>
      <c r="K17" t="str">
        <f t="shared" si="5"/>
        <v>Kern County</v>
      </c>
      <c r="L17">
        <f t="shared" si="1"/>
        <v>102</v>
      </c>
      <c r="P17" s="12" t="str">
        <f t="shared" si="2"/>
        <v>California</v>
      </c>
      <c r="Q17" t="str">
        <f t="shared" si="3"/>
        <v>Kern County</v>
      </c>
      <c r="R17">
        <f t="shared" si="4"/>
        <v>4994.3999999999996</v>
      </c>
    </row>
    <row r="18" spans="1:18" x14ac:dyDescent="0.3">
      <c r="A18" t="s">
        <v>19</v>
      </c>
      <c r="B18" t="s">
        <v>334</v>
      </c>
      <c r="C18">
        <v>12</v>
      </c>
      <c r="D18">
        <v>313</v>
      </c>
      <c r="J18" s="12" t="str">
        <f t="shared" si="0"/>
        <v>California</v>
      </c>
      <c r="K18" t="str">
        <f t="shared" si="5"/>
        <v>Kings County</v>
      </c>
      <c r="L18">
        <f t="shared" si="1"/>
        <v>12</v>
      </c>
      <c r="P18" s="12" t="str">
        <f t="shared" si="2"/>
        <v>California</v>
      </c>
      <c r="Q18" t="str">
        <f t="shared" si="3"/>
        <v>Kings County</v>
      </c>
      <c r="R18">
        <f t="shared" si="4"/>
        <v>313</v>
      </c>
    </row>
    <row r="19" spans="1:18" x14ac:dyDescent="0.3">
      <c r="A19" t="s">
        <v>19</v>
      </c>
      <c r="B19" t="s">
        <v>949</v>
      </c>
      <c r="C19">
        <v>8</v>
      </c>
      <c r="D19">
        <v>762.5</v>
      </c>
      <c r="J19" s="12" t="str">
        <f t="shared" si="0"/>
        <v>California</v>
      </c>
      <c r="K19" t="str">
        <f t="shared" si="5"/>
        <v>Lake County</v>
      </c>
      <c r="L19">
        <f t="shared" si="1"/>
        <v>8</v>
      </c>
      <c r="P19" s="12" t="str">
        <f t="shared" si="2"/>
        <v>California</v>
      </c>
      <c r="Q19" t="str">
        <f t="shared" si="3"/>
        <v>Lake County</v>
      </c>
      <c r="R19">
        <f t="shared" si="4"/>
        <v>762.5</v>
      </c>
    </row>
    <row r="20" spans="1:18" x14ac:dyDescent="0.3">
      <c r="A20" t="s">
        <v>19</v>
      </c>
      <c r="B20" t="s">
        <v>1426</v>
      </c>
      <c r="C20">
        <v>1</v>
      </c>
      <c r="D20">
        <v>26.2</v>
      </c>
      <c r="J20" s="12" t="str">
        <f t="shared" si="0"/>
        <v>California</v>
      </c>
      <c r="K20" t="str">
        <f t="shared" si="5"/>
        <v>Lassen County</v>
      </c>
      <c r="L20">
        <f t="shared" si="1"/>
        <v>1</v>
      </c>
      <c r="P20" s="12" t="str">
        <f t="shared" si="2"/>
        <v>California</v>
      </c>
      <c r="Q20" t="str">
        <f t="shared" si="3"/>
        <v>Lassen County</v>
      </c>
      <c r="R20">
        <f t="shared" si="4"/>
        <v>26.2</v>
      </c>
    </row>
    <row r="21" spans="1:18" x14ac:dyDescent="0.3">
      <c r="A21" t="s">
        <v>19</v>
      </c>
      <c r="B21" t="s">
        <v>33</v>
      </c>
      <c r="C21">
        <v>1537</v>
      </c>
      <c r="D21">
        <v>76651.499999999942</v>
      </c>
      <c r="J21" s="12" t="str">
        <f t="shared" si="0"/>
        <v>California</v>
      </c>
      <c r="K21" t="str">
        <f t="shared" si="5"/>
        <v>Los Angeles County</v>
      </c>
      <c r="L21">
        <f t="shared" si="1"/>
        <v>1537</v>
      </c>
      <c r="P21" s="12" t="str">
        <f t="shared" si="2"/>
        <v>California</v>
      </c>
      <c r="Q21" t="str">
        <f t="shared" si="3"/>
        <v>Los Angeles County</v>
      </c>
      <c r="R21">
        <f t="shared" si="4"/>
        <v>76651.499999999942</v>
      </c>
    </row>
    <row r="22" spans="1:18" x14ac:dyDescent="0.3">
      <c r="A22" t="s">
        <v>19</v>
      </c>
      <c r="B22" t="s">
        <v>364</v>
      </c>
      <c r="C22">
        <v>25</v>
      </c>
      <c r="D22">
        <v>1122.6000000000001</v>
      </c>
      <c r="J22" s="12" t="str">
        <f t="shared" si="0"/>
        <v>California</v>
      </c>
      <c r="K22" t="str">
        <f t="shared" si="5"/>
        <v>Madera County</v>
      </c>
      <c r="L22">
        <f t="shared" si="1"/>
        <v>25</v>
      </c>
      <c r="P22" s="12" t="str">
        <f t="shared" si="2"/>
        <v>California</v>
      </c>
      <c r="Q22" t="str">
        <f t="shared" si="3"/>
        <v>Madera County</v>
      </c>
      <c r="R22">
        <f t="shared" si="4"/>
        <v>1122.6000000000001</v>
      </c>
    </row>
    <row r="23" spans="1:18" x14ac:dyDescent="0.3">
      <c r="A23" t="s">
        <v>19</v>
      </c>
      <c r="B23" t="s">
        <v>545</v>
      </c>
      <c r="C23">
        <v>26</v>
      </c>
      <c r="D23">
        <v>728.80000000000007</v>
      </c>
      <c r="J23" s="12" t="str">
        <f t="shared" si="0"/>
        <v>California</v>
      </c>
      <c r="K23" t="str">
        <f t="shared" si="5"/>
        <v>Marin County</v>
      </c>
      <c r="L23">
        <f t="shared" si="1"/>
        <v>26</v>
      </c>
      <c r="P23" s="12" t="str">
        <f t="shared" si="2"/>
        <v>California</v>
      </c>
      <c r="Q23" t="str">
        <f t="shared" si="3"/>
        <v>Marin County</v>
      </c>
      <c r="R23">
        <f t="shared" si="4"/>
        <v>728.80000000000007</v>
      </c>
    </row>
    <row r="24" spans="1:18" x14ac:dyDescent="0.3">
      <c r="A24" t="s">
        <v>19</v>
      </c>
      <c r="B24" t="s">
        <v>186</v>
      </c>
      <c r="C24">
        <v>27</v>
      </c>
      <c r="D24">
        <v>1244.8999999999999</v>
      </c>
      <c r="J24" s="12" t="str">
        <f t="shared" si="0"/>
        <v>California</v>
      </c>
      <c r="K24" t="str">
        <f t="shared" si="5"/>
        <v>Merced County</v>
      </c>
      <c r="L24">
        <f t="shared" si="1"/>
        <v>27</v>
      </c>
      <c r="P24" s="12" t="str">
        <f t="shared" si="2"/>
        <v>California</v>
      </c>
      <c r="Q24" t="str">
        <f t="shared" si="3"/>
        <v>Merced County</v>
      </c>
      <c r="R24">
        <f t="shared" si="4"/>
        <v>1244.8999999999999</v>
      </c>
    </row>
    <row r="25" spans="1:18" x14ac:dyDescent="0.3">
      <c r="A25" t="s">
        <v>19</v>
      </c>
      <c r="B25" t="s">
        <v>802</v>
      </c>
      <c r="C25">
        <v>30</v>
      </c>
      <c r="D25">
        <v>1568.6</v>
      </c>
      <c r="J25" s="12" t="str">
        <f t="shared" si="0"/>
        <v>California</v>
      </c>
      <c r="K25" t="str">
        <f t="shared" si="5"/>
        <v>Monterey County</v>
      </c>
      <c r="L25">
        <f t="shared" si="1"/>
        <v>30</v>
      </c>
      <c r="P25" s="12" t="str">
        <f t="shared" si="2"/>
        <v>California</v>
      </c>
      <c r="Q25" t="str">
        <f t="shared" si="3"/>
        <v>Monterey County</v>
      </c>
      <c r="R25">
        <f t="shared" si="4"/>
        <v>1568.6</v>
      </c>
    </row>
    <row r="26" spans="1:18" x14ac:dyDescent="0.3">
      <c r="A26" t="s">
        <v>19</v>
      </c>
      <c r="B26" t="s">
        <v>98</v>
      </c>
      <c r="C26">
        <v>26</v>
      </c>
      <c r="D26">
        <v>1361</v>
      </c>
      <c r="J26" s="12" t="str">
        <f t="shared" si="0"/>
        <v>California</v>
      </c>
      <c r="K26" t="str">
        <f t="shared" si="5"/>
        <v>Napa County</v>
      </c>
      <c r="L26">
        <f t="shared" si="1"/>
        <v>26</v>
      </c>
      <c r="P26" s="12" t="str">
        <f t="shared" si="2"/>
        <v>California</v>
      </c>
      <c r="Q26" t="str">
        <f t="shared" si="3"/>
        <v>Napa County</v>
      </c>
      <c r="R26">
        <f t="shared" si="4"/>
        <v>1361</v>
      </c>
    </row>
    <row r="27" spans="1:18" x14ac:dyDescent="0.3">
      <c r="A27" t="s">
        <v>19</v>
      </c>
      <c r="B27" t="s">
        <v>49</v>
      </c>
      <c r="C27">
        <v>10</v>
      </c>
      <c r="D27">
        <v>443.29999999999995</v>
      </c>
      <c r="J27" s="12" t="str">
        <f t="shared" si="0"/>
        <v>California</v>
      </c>
      <c r="K27" t="str">
        <f t="shared" si="5"/>
        <v>Nevada County</v>
      </c>
      <c r="L27">
        <f t="shared" si="1"/>
        <v>10</v>
      </c>
      <c r="P27" s="12" t="str">
        <f t="shared" si="2"/>
        <v>California</v>
      </c>
      <c r="Q27" t="str">
        <f t="shared" si="3"/>
        <v>Nevada County</v>
      </c>
      <c r="R27">
        <f t="shared" si="4"/>
        <v>443.29999999999995</v>
      </c>
    </row>
    <row r="28" spans="1:18" x14ac:dyDescent="0.3">
      <c r="A28" t="s">
        <v>19</v>
      </c>
      <c r="B28" t="s">
        <v>188</v>
      </c>
      <c r="C28">
        <v>107</v>
      </c>
      <c r="D28">
        <v>5759.2999999999993</v>
      </c>
      <c r="J28" s="12" t="str">
        <f t="shared" si="0"/>
        <v>California</v>
      </c>
      <c r="K28" t="str">
        <f t="shared" si="5"/>
        <v>Orange County</v>
      </c>
      <c r="L28">
        <f t="shared" si="1"/>
        <v>107</v>
      </c>
      <c r="P28" s="12" t="str">
        <f t="shared" si="2"/>
        <v>California</v>
      </c>
      <c r="Q28" t="str">
        <f t="shared" si="3"/>
        <v>Orange County</v>
      </c>
      <c r="R28">
        <f t="shared" si="4"/>
        <v>5759.2999999999993</v>
      </c>
    </row>
    <row r="29" spans="1:18" x14ac:dyDescent="0.3">
      <c r="A29" t="s">
        <v>19</v>
      </c>
      <c r="B29" t="s">
        <v>52</v>
      </c>
      <c r="C29">
        <v>98</v>
      </c>
      <c r="D29">
        <v>6350.1</v>
      </c>
      <c r="J29" s="12" t="str">
        <f t="shared" si="0"/>
        <v>California</v>
      </c>
      <c r="K29" t="str">
        <f t="shared" si="5"/>
        <v>Placer County</v>
      </c>
      <c r="L29">
        <f t="shared" si="1"/>
        <v>98</v>
      </c>
      <c r="P29" s="12" t="str">
        <f t="shared" si="2"/>
        <v>California</v>
      </c>
      <c r="Q29" t="str">
        <f t="shared" si="3"/>
        <v>Placer County</v>
      </c>
      <c r="R29">
        <f t="shared" si="4"/>
        <v>6350.1</v>
      </c>
    </row>
    <row r="30" spans="1:18" x14ac:dyDescent="0.3">
      <c r="A30" t="s">
        <v>19</v>
      </c>
      <c r="B30" t="s">
        <v>338</v>
      </c>
      <c r="C30">
        <v>5</v>
      </c>
      <c r="D30">
        <v>113.5</v>
      </c>
      <c r="J30" s="12" t="str">
        <f t="shared" si="0"/>
        <v>California</v>
      </c>
      <c r="K30" t="str">
        <f t="shared" si="5"/>
        <v>Plumas County</v>
      </c>
      <c r="L30">
        <f t="shared" si="1"/>
        <v>5</v>
      </c>
      <c r="P30" s="12" t="str">
        <f t="shared" si="2"/>
        <v>California</v>
      </c>
      <c r="Q30" t="str">
        <f t="shared" si="3"/>
        <v>Plumas County</v>
      </c>
      <c r="R30">
        <f t="shared" si="4"/>
        <v>113.5</v>
      </c>
    </row>
    <row r="31" spans="1:18" x14ac:dyDescent="0.3">
      <c r="A31" t="s">
        <v>19</v>
      </c>
      <c r="B31" t="s">
        <v>158</v>
      </c>
      <c r="C31">
        <v>21</v>
      </c>
      <c r="D31">
        <v>932.8</v>
      </c>
      <c r="J31" s="12" t="str">
        <f t="shared" si="0"/>
        <v>California</v>
      </c>
      <c r="K31" t="str">
        <f t="shared" si="5"/>
        <v>Riverside County</v>
      </c>
      <c r="L31">
        <f t="shared" si="1"/>
        <v>21</v>
      </c>
      <c r="P31" s="12" t="str">
        <f t="shared" si="2"/>
        <v>California</v>
      </c>
      <c r="Q31" t="str">
        <f t="shared" si="3"/>
        <v>Riverside County</v>
      </c>
      <c r="R31">
        <f t="shared" si="4"/>
        <v>932.8</v>
      </c>
    </row>
    <row r="32" spans="1:18" x14ac:dyDescent="0.3">
      <c r="A32" t="s">
        <v>19</v>
      </c>
      <c r="B32" t="s">
        <v>55</v>
      </c>
      <c r="C32">
        <v>306</v>
      </c>
      <c r="D32">
        <v>15987.800000000001</v>
      </c>
      <c r="J32" s="12" t="str">
        <f t="shared" si="0"/>
        <v>California</v>
      </c>
      <c r="K32" t="str">
        <f t="shared" si="5"/>
        <v>Sacramento County</v>
      </c>
      <c r="L32">
        <f t="shared" si="1"/>
        <v>306</v>
      </c>
      <c r="P32" s="12" t="str">
        <f t="shared" si="2"/>
        <v>California</v>
      </c>
      <c r="Q32" t="str">
        <f t="shared" si="3"/>
        <v>Sacramento County</v>
      </c>
      <c r="R32">
        <f t="shared" si="4"/>
        <v>15987.800000000001</v>
      </c>
    </row>
    <row r="33" spans="1:18" x14ac:dyDescent="0.3">
      <c r="A33" t="s">
        <v>19</v>
      </c>
      <c r="B33" t="s">
        <v>342</v>
      </c>
      <c r="C33">
        <v>16</v>
      </c>
      <c r="D33">
        <v>779.3</v>
      </c>
      <c r="J33" s="12" t="str">
        <f t="shared" si="0"/>
        <v>California</v>
      </c>
      <c r="K33" t="str">
        <f t="shared" si="5"/>
        <v>San Benito County</v>
      </c>
      <c r="L33">
        <f t="shared" si="1"/>
        <v>16</v>
      </c>
      <c r="P33" s="12" t="str">
        <f t="shared" si="2"/>
        <v>California</v>
      </c>
      <c r="Q33" t="str">
        <f t="shared" si="3"/>
        <v>San Benito County</v>
      </c>
      <c r="R33">
        <f t="shared" si="4"/>
        <v>779.3</v>
      </c>
    </row>
    <row r="34" spans="1:18" x14ac:dyDescent="0.3">
      <c r="A34" t="s">
        <v>19</v>
      </c>
      <c r="B34" t="s">
        <v>59</v>
      </c>
      <c r="C34">
        <v>129</v>
      </c>
      <c r="D34">
        <v>6433.0000000000009</v>
      </c>
      <c r="J34" s="12" t="str">
        <f t="shared" si="0"/>
        <v>California</v>
      </c>
      <c r="K34" t="str">
        <f t="shared" si="5"/>
        <v>San Bernardino County</v>
      </c>
      <c r="L34">
        <f t="shared" si="1"/>
        <v>129</v>
      </c>
      <c r="P34" s="12" t="str">
        <f t="shared" si="2"/>
        <v>California</v>
      </c>
      <c r="Q34" t="str">
        <f t="shared" si="3"/>
        <v>San Bernardino County</v>
      </c>
      <c r="R34">
        <f t="shared" si="4"/>
        <v>6433.0000000000009</v>
      </c>
    </row>
    <row r="35" spans="1:18" x14ac:dyDescent="0.3">
      <c r="A35" t="s">
        <v>19</v>
      </c>
      <c r="B35" t="s">
        <v>62</v>
      </c>
      <c r="C35">
        <v>783</v>
      </c>
      <c r="D35">
        <v>44865.7</v>
      </c>
      <c r="J35" s="12" t="str">
        <f t="shared" si="0"/>
        <v>California</v>
      </c>
      <c r="K35" t="str">
        <f t="shared" si="5"/>
        <v>San Diego County</v>
      </c>
      <c r="L35">
        <f t="shared" si="1"/>
        <v>783</v>
      </c>
      <c r="P35" s="12" t="str">
        <f t="shared" si="2"/>
        <v>California</v>
      </c>
      <c r="Q35" t="str">
        <f t="shared" si="3"/>
        <v>San Diego County</v>
      </c>
      <c r="R35">
        <f t="shared" si="4"/>
        <v>44865.7</v>
      </c>
    </row>
    <row r="36" spans="1:18" x14ac:dyDescent="0.3">
      <c r="A36" t="s">
        <v>19</v>
      </c>
      <c r="B36" t="s">
        <v>103</v>
      </c>
      <c r="C36">
        <v>108</v>
      </c>
      <c r="D36">
        <v>5926.5</v>
      </c>
      <c r="J36" s="12" t="str">
        <f t="shared" si="0"/>
        <v>California</v>
      </c>
      <c r="K36" t="str">
        <f t="shared" si="5"/>
        <v>San Francisco</v>
      </c>
      <c r="L36">
        <f t="shared" si="1"/>
        <v>108</v>
      </c>
      <c r="P36" s="12" t="str">
        <f t="shared" si="2"/>
        <v>California</v>
      </c>
      <c r="Q36" t="str">
        <f t="shared" si="3"/>
        <v>San Francisco</v>
      </c>
      <c r="R36">
        <f t="shared" si="4"/>
        <v>5926.5</v>
      </c>
    </row>
    <row r="37" spans="1:18" x14ac:dyDescent="0.3">
      <c r="A37" t="s">
        <v>19</v>
      </c>
      <c r="B37" t="s">
        <v>201</v>
      </c>
      <c r="C37">
        <v>51</v>
      </c>
      <c r="D37">
        <v>1987.9</v>
      </c>
      <c r="J37" s="12" t="str">
        <f t="shared" si="0"/>
        <v>California</v>
      </c>
      <c r="K37" t="str">
        <f t="shared" si="5"/>
        <v>San Joaquin County</v>
      </c>
      <c r="L37">
        <f t="shared" si="1"/>
        <v>51</v>
      </c>
      <c r="P37" s="12" t="str">
        <f t="shared" si="2"/>
        <v>California</v>
      </c>
      <c r="Q37" t="str">
        <f t="shared" si="3"/>
        <v>San Joaquin County</v>
      </c>
      <c r="R37">
        <f t="shared" si="4"/>
        <v>1987.9</v>
      </c>
    </row>
    <row r="38" spans="1:18" x14ac:dyDescent="0.3">
      <c r="A38" t="s">
        <v>19</v>
      </c>
      <c r="B38" t="s">
        <v>72</v>
      </c>
      <c r="C38">
        <v>103</v>
      </c>
      <c r="D38">
        <v>4897.3999999999996</v>
      </c>
      <c r="J38" s="12" t="str">
        <f t="shared" si="0"/>
        <v>California</v>
      </c>
      <c r="K38" t="str">
        <f t="shared" si="5"/>
        <v>San Mateo County</v>
      </c>
      <c r="L38">
        <f t="shared" si="1"/>
        <v>103</v>
      </c>
      <c r="P38" s="12" t="str">
        <f t="shared" si="2"/>
        <v>California</v>
      </c>
      <c r="Q38" t="str">
        <f t="shared" si="3"/>
        <v>San Mateo County</v>
      </c>
      <c r="R38">
        <f t="shared" si="4"/>
        <v>4897.3999999999996</v>
      </c>
    </row>
    <row r="39" spans="1:18" x14ac:dyDescent="0.3">
      <c r="A39" t="s">
        <v>19</v>
      </c>
      <c r="B39" t="s">
        <v>74</v>
      </c>
      <c r="C39">
        <v>63</v>
      </c>
      <c r="D39">
        <v>2320.9</v>
      </c>
      <c r="J39" s="12" t="str">
        <f t="shared" si="0"/>
        <v>California</v>
      </c>
      <c r="K39" t="str">
        <f t="shared" si="5"/>
        <v>Santa Barbara County</v>
      </c>
      <c r="L39">
        <f t="shared" si="1"/>
        <v>63</v>
      </c>
      <c r="P39" s="12" t="str">
        <f t="shared" si="2"/>
        <v>California</v>
      </c>
      <c r="Q39" t="str">
        <f t="shared" si="3"/>
        <v>Santa Barbara County</v>
      </c>
      <c r="R39">
        <f t="shared" si="4"/>
        <v>2320.9</v>
      </c>
    </row>
    <row r="40" spans="1:18" x14ac:dyDescent="0.3">
      <c r="A40" t="s">
        <v>19</v>
      </c>
      <c r="B40" t="s">
        <v>77</v>
      </c>
      <c r="C40">
        <v>222</v>
      </c>
      <c r="D40">
        <v>12098.200000000003</v>
      </c>
      <c r="J40" s="12" t="str">
        <f t="shared" si="0"/>
        <v>California</v>
      </c>
      <c r="K40" t="str">
        <f t="shared" si="5"/>
        <v>Santa Clara County</v>
      </c>
      <c r="L40">
        <f t="shared" si="1"/>
        <v>222</v>
      </c>
      <c r="P40" s="12" t="str">
        <f t="shared" si="2"/>
        <v>California</v>
      </c>
      <c r="Q40" t="str">
        <f t="shared" si="3"/>
        <v>Santa Clara County</v>
      </c>
      <c r="R40">
        <f t="shared" si="4"/>
        <v>12098.200000000003</v>
      </c>
    </row>
    <row r="41" spans="1:18" x14ac:dyDescent="0.3">
      <c r="A41" t="s">
        <v>19</v>
      </c>
      <c r="B41" t="s">
        <v>309</v>
      </c>
      <c r="C41">
        <v>18</v>
      </c>
      <c r="D41">
        <v>376.2</v>
      </c>
      <c r="J41" s="12" t="str">
        <f t="shared" si="0"/>
        <v>California</v>
      </c>
      <c r="K41" t="str">
        <f t="shared" si="5"/>
        <v>Santa Cruz County</v>
      </c>
      <c r="L41">
        <f t="shared" si="1"/>
        <v>18</v>
      </c>
      <c r="P41" s="12" t="str">
        <f t="shared" si="2"/>
        <v>California</v>
      </c>
      <c r="Q41" t="str">
        <f t="shared" si="3"/>
        <v>Santa Cruz County</v>
      </c>
      <c r="R41">
        <f t="shared" si="4"/>
        <v>376.2</v>
      </c>
    </row>
    <row r="42" spans="1:18" x14ac:dyDescent="0.3">
      <c r="A42" t="s">
        <v>19</v>
      </c>
      <c r="B42" t="s">
        <v>1116</v>
      </c>
      <c r="C42">
        <v>19</v>
      </c>
      <c r="D42">
        <v>763.6</v>
      </c>
      <c r="J42" s="12" t="str">
        <f t="shared" si="0"/>
        <v>California</v>
      </c>
      <c r="K42" t="str">
        <f t="shared" si="5"/>
        <v>Shasta County</v>
      </c>
      <c r="L42">
        <f t="shared" si="1"/>
        <v>19</v>
      </c>
      <c r="P42" s="12" t="str">
        <f t="shared" si="2"/>
        <v>California</v>
      </c>
      <c r="Q42" t="str">
        <f t="shared" si="3"/>
        <v>Shasta County</v>
      </c>
      <c r="R42">
        <f t="shared" si="4"/>
        <v>763.6</v>
      </c>
    </row>
    <row r="43" spans="1:18" x14ac:dyDescent="0.3">
      <c r="A43" t="s">
        <v>19</v>
      </c>
      <c r="B43" t="s">
        <v>268</v>
      </c>
      <c r="C43">
        <v>3</v>
      </c>
      <c r="D43">
        <v>136.39999999999998</v>
      </c>
      <c r="J43" s="12" t="str">
        <f t="shared" si="0"/>
        <v>California</v>
      </c>
      <c r="K43" t="str">
        <f t="shared" si="5"/>
        <v>Siskiyou County</v>
      </c>
      <c r="L43">
        <f t="shared" si="1"/>
        <v>3</v>
      </c>
      <c r="P43" s="12" t="str">
        <f t="shared" si="2"/>
        <v>California</v>
      </c>
      <c r="Q43" t="str">
        <f t="shared" si="3"/>
        <v>Siskiyou County</v>
      </c>
      <c r="R43">
        <f t="shared" si="4"/>
        <v>136.39999999999998</v>
      </c>
    </row>
    <row r="44" spans="1:18" x14ac:dyDescent="0.3">
      <c r="A44" t="s">
        <v>19</v>
      </c>
      <c r="B44" t="s">
        <v>377</v>
      </c>
      <c r="C44">
        <v>18</v>
      </c>
      <c r="D44">
        <v>849.4</v>
      </c>
      <c r="J44" s="12" t="str">
        <f t="shared" si="0"/>
        <v>California</v>
      </c>
      <c r="K44" t="str">
        <f t="shared" si="5"/>
        <v>Solano County</v>
      </c>
      <c r="L44">
        <f t="shared" si="1"/>
        <v>18</v>
      </c>
      <c r="P44" s="12" t="str">
        <f t="shared" si="2"/>
        <v>California</v>
      </c>
      <c r="Q44" t="str">
        <f t="shared" si="3"/>
        <v>Solano County</v>
      </c>
      <c r="R44">
        <f t="shared" si="4"/>
        <v>849.4</v>
      </c>
    </row>
    <row r="45" spans="1:18" x14ac:dyDescent="0.3">
      <c r="A45" t="s">
        <v>19</v>
      </c>
      <c r="B45" t="s">
        <v>108</v>
      </c>
      <c r="C45">
        <v>99</v>
      </c>
      <c r="D45">
        <v>6308.2000000000007</v>
      </c>
      <c r="J45" s="12" t="str">
        <f t="shared" si="0"/>
        <v>California</v>
      </c>
      <c r="K45" t="str">
        <f t="shared" si="5"/>
        <v>Sonoma County</v>
      </c>
      <c r="L45">
        <f t="shared" si="1"/>
        <v>99</v>
      </c>
      <c r="P45" s="12" t="str">
        <f t="shared" si="2"/>
        <v>California</v>
      </c>
      <c r="Q45" t="str">
        <f t="shared" si="3"/>
        <v>Sonoma County</v>
      </c>
      <c r="R45">
        <f t="shared" si="4"/>
        <v>6308.2000000000007</v>
      </c>
    </row>
    <row r="46" spans="1:18" x14ac:dyDescent="0.3">
      <c r="A46" t="s">
        <v>19</v>
      </c>
      <c r="B46" t="s">
        <v>110</v>
      </c>
      <c r="C46">
        <v>49</v>
      </c>
      <c r="D46">
        <v>2590.4</v>
      </c>
      <c r="J46" s="12" t="str">
        <f t="shared" si="0"/>
        <v>California</v>
      </c>
      <c r="K46" t="str">
        <f t="shared" si="5"/>
        <v>Stanislaus County</v>
      </c>
      <c r="L46">
        <f t="shared" si="1"/>
        <v>49</v>
      </c>
      <c r="P46" s="12" t="str">
        <f t="shared" si="2"/>
        <v>California</v>
      </c>
      <c r="Q46" t="str">
        <f t="shared" si="3"/>
        <v>Stanislaus County</v>
      </c>
      <c r="R46">
        <f t="shared" si="4"/>
        <v>2590.4</v>
      </c>
    </row>
    <row r="47" spans="1:18" x14ac:dyDescent="0.3">
      <c r="A47" t="s">
        <v>19</v>
      </c>
      <c r="B47" t="s">
        <v>292</v>
      </c>
      <c r="C47">
        <v>7</v>
      </c>
      <c r="D47">
        <v>290.8</v>
      </c>
      <c r="J47" s="12" t="str">
        <f t="shared" si="0"/>
        <v>California</v>
      </c>
      <c r="K47" t="str">
        <f t="shared" si="5"/>
        <v>Sutter County</v>
      </c>
      <c r="L47">
        <f t="shared" si="1"/>
        <v>7</v>
      </c>
      <c r="P47" s="12" t="str">
        <f t="shared" si="2"/>
        <v>California</v>
      </c>
      <c r="Q47" t="str">
        <f t="shared" si="3"/>
        <v>Sutter County</v>
      </c>
      <c r="R47">
        <f t="shared" si="4"/>
        <v>290.8</v>
      </c>
    </row>
    <row r="48" spans="1:18" x14ac:dyDescent="0.3">
      <c r="A48" t="s">
        <v>19</v>
      </c>
      <c r="B48" t="s">
        <v>79</v>
      </c>
      <c r="C48">
        <v>1</v>
      </c>
      <c r="D48">
        <v>68.5</v>
      </c>
      <c r="J48" s="12" t="str">
        <f t="shared" si="0"/>
        <v>California</v>
      </c>
      <c r="K48" t="str">
        <f t="shared" si="5"/>
        <v>Tehama County</v>
      </c>
      <c r="L48">
        <f t="shared" si="1"/>
        <v>1</v>
      </c>
      <c r="P48" s="12" t="str">
        <f t="shared" si="2"/>
        <v>California</v>
      </c>
      <c r="Q48" t="str">
        <f t="shared" si="3"/>
        <v>Tehama County</v>
      </c>
      <c r="R48">
        <f t="shared" si="4"/>
        <v>68.5</v>
      </c>
    </row>
    <row r="49" spans="1:18" x14ac:dyDescent="0.3">
      <c r="A49" t="s">
        <v>19</v>
      </c>
      <c r="B49" t="s">
        <v>113</v>
      </c>
      <c r="C49">
        <v>43</v>
      </c>
      <c r="D49">
        <v>2238.8000000000002</v>
      </c>
      <c r="J49" s="12" t="str">
        <f t="shared" si="0"/>
        <v>California</v>
      </c>
      <c r="K49" t="str">
        <f t="shared" si="5"/>
        <v>Tulare County</v>
      </c>
      <c r="L49">
        <f t="shared" si="1"/>
        <v>43</v>
      </c>
      <c r="P49" s="12" t="str">
        <f t="shared" si="2"/>
        <v>California</v>
      </c>
      <c r="Q49" t="str">
        <f t="shared" si="3"/>
        <v>Tulare County</v>
      </c>
      <c r="R49">
        <f t="shared" si="4"/>
        <v>2238.8000000000002</v>
      </c>
    </row>
    <row r="50" spans="1:18" x14ac:dyDescent="0.3">
      <c r="A50" t="s">
        <v>19</v>
      </c>
      <c r="B50" t="s">
        <v>997</v>
      </c>
      <c r="C50">
        <v>3</v>
      </c>
      <c r="D50">
        <v>259.20000000000005</v>
      </c>
      <c r="J50" s="12" t="str">
        <f t="shared" si="0"/>
        <v>California</v>
      </c>
      <c r="K50" t="str">
        <f t="shared" si="5"/>
        <v>Tuolumne County</v>
      </c>
      <c r="L50">
        <f t="shared" si="1"/>
        <v>3</v>
      </c>
      <c r="P50" s="12" t="str">
        <f t="shared" si="2"/>
        <v>California</v>
      </c>
      <c r="Q50" t="str">
        <f t="shared" si="3"/>
        <v>Tuolumne County</v>
      </c>
      <c r="R50">
        <f t="shared" si="4"/>
        <v>259.20000000000005</v>
      </c>
    </row>
    <row r="51" spans="1:18" x14ac:dyDescent="0.3">
      <c r="A51" t="s">
        <v>19</v>
      </c>
      <c r="B51" t="s">
        <v>82</v>
      </c>
      <c r="C51">
        <v>59</v>
      </c>
      <c r="D51">
        <v>3012.8</v>
      </c>
      <c r="J51" s="12" t="str">
        <f t="shared" si="0"/>
        <v>California</v>
      </c>
      <c r="K51" t="str">
        <f t="shared" si="5"/>
        <v>Ventura County</v>
      </c>
      <c r="L51">
        <f t="shared" si="1"/>
        <v>59</v>
      </c>
      <c r="P51" s="12" t="str">
        <f t="shared" si="2"/>
        <v>California</v>
      </c>
      <c r="Q51" t="str">
        <f t="shared" si="3"/>
        <v>Ventura County</v>
      </c>
      <c r="R51">
        <f t="shared" si="4"/>
        <v>3012.8</v>
      </c>
    </row>
    <row r="52" spans="1:18" x14ac:dyDescent="0.3">
      <c r="A52" t="s">
        <v>19</v>
      </c>
      <c r="B52" t="s">
        <v>243</v>
      </c>
      <c r="C52">
        <v>2</v>
      </c>
      <c r="D52">
        <v>158</v>
      </c>
      <c r="J52" s="12" t="str">
        <f t="shared" si="0"/>
        <v>California</v>
      </c>
      <c r="K52" t="str">
        <f t="shared" si="5"/>
        <v>Yolo County</v>
      </c>
      <c r="L52">
        <f t="shared" si="1"/>
        <v>2</v>
      </c>
      <c r="P52" s="12" t="str">
        <f t="shared" si="2"/>
        <v>California</v>
      </c>
      <c r="Q52" t="str">
        <f t="shared" si="3"/>
        <v>Yolo County</v>
      </c>
      <c r="R52">
        <f t="shared" si="4"/>
        <v>158</v>
      </c>
    </row>
    <row r="53" spans="1:18" x14ac:dyDescent="0.3">
      <c r="J53" s="12" t="str">
        <f t="shared" si="0"/>
        <v/>
      </c>
      <c r="K53" t="str">
        <f t="shared" si="5"/>
        <v/>
      </c>
      <c r="L53" t="str">
        <f t="shared" si="1"/>
        <v/>
      </c>
      <c r="P53" s="12" t="str">
        <f t="shared" si="2"/>
        <v/>
      </c>
      <c r="Q53" t="str">
        <f t="shared" si="3"/>
        <v/>
      </c>
      <c r="R53" t="str">
        <f t="shared" si="4"/>
        <v/>
      </c>
    </row>
    <row r="54" spans="1:18" x14ac:dyDescent="0.3">
      <c r="J54" s="12" t="str">
        <f t="shared" si="0"/>
        <v/>
      </c>
      <c r="K54" t="str">
        <f t="shared" si="5"/>
        <v/>
      </c>
      <c r="L54" t="str">
        <f t="shared" si="1"/>
        <v/>
      </c>
      <c r="P54" s="12" t="str">
        <f t="shared" si="2"/>
        <v/>
      </c>
      <c r="Q54" t="str">
        <f t="shared" si="3"/>
        <v/>
      </c>
      <c r="R54" t="str">
        <f t="shared" si="4"/>
        <v/>
      </c>
    </row>
    <row r="55" spans="1:18" x14ac:dyDescent="0.3">
      <c r="J55" s="12" t="str">
        <f t="shared" si="0"/>
        <v/>
      </c>
      <c r="K55" t="str">
        <f t="shared" si="5"/>
        <v/>
      </c>
      <c r="L55" t="str">
        <f t="shared" si="1"/>
        <v/>
      </c>
      <c r="P55" s="12" t="str">
        <f t="shared" si="2"/>
        <v/>
      </c>
      <c r="Q55" t="str">
        <f t="shared" si="3"/>
        <v/>
      </c>
      <c r="R55" t="str">
        <f t="shared" si="4"/>
        <v/>
      </c>
    </row>
    <row r="56" spans="1:18" x14ac:dyDescent="0.3">
      <c r="J56" s="12" t="str">
        <f t="shared" si="0"/>
        <v/>
      </c>
      <c r="K56" t="str">
        <f t="shared" si="5"/>
        <v/>
      </c>
      <c r="L56" t="str">
        <f t="shared" si="1"/>
        <v/>
      </c>
      <c r="P56" s="12" t="str">
        <f t="shared" si="2"/>
        <v/>
      </c>
      <c r="Q56" t="str">
        <f t="shared" si="3"/>
        <v/>
      </c>
      <c r="R56" t="str">
        <f t="shared" si="4"/>
        <v/>
      </c>
    </row>
    <row r="57" spans="1:18" x14ac:dyDescent="0.3">
      <c r="J57" s="12" t="str">
        <f t="shared" si="0"/>
        <v/>
      </c>
      <c r="K57" t="str">
        <f t="shared" si="5"/>
        <v/>
      </c>
      <c r="L57" t="str">
        <f t="shared" si="1"/>
        <v/>
      </c>
      <c r="P57" s="12" t="str">
        <f t="shared" si="2"/>
        <v/>
      </c>
      <c r="Q57" t="str">
        <f t="shared" si="3"/>
        <v/>
      </c>
      <c r="R57" t="str">
        <f t="shared" si="4"/>
        <v/>
      </c>
    </row>
    <row r="58" spans="1:18" x14ac:dyDescent="0.3">
      <c r="J58" s="12" t="str">
        <f t="shared" si="0"/>
        <v/>
      </c>
      <c r="K58" t="str">
        <f t="shared" si="5"/>
        <v/>
      </c>
      <c r="L58" t="str">
        <f t="shared" si="1"/>
        <v/>
      </c>
      <c r="P58" s="12" t="str">
        <f t="shared" si="2"/>
        <v/>
      </c>
      <c r="Q58" t="str">
        <f t="shared" si="3"/>
        <v/>
      </c>
      <c r="R58" t="str">
        <f t="shared" si="4"/>
        <v/>
      </c>
    </row>
    <row r="59" spans="1:18" x14ac:dyDescent="0.3">
      <c r="J59" s="12" t="str">
        <f t="shared" si="0"/>
        <v/>
      </c>
      <c r="K59" t="str">
        <f t="shared" si="5"/>
        <v/>
      </c>
      <c r="L59" t="str">
        <f t="shared" si="1"/>
        <v/>
      </c>
      <c r="P59" s="12" t="str">
        <f t="shared" si="2"/>
        <v/>
      </c>
      <c r="Q59" t="str">
        <f t="shared" si="3"/>
        <v/>
      </c>
      <c r="R59" t="str">
        <f t="shared" si="4"/>
        <v/>
      </c>
    </row>
    <row r="60" spans="1:18" x14ac:dyDescent="0.3">
      <c r="J60" s="12" t="str">
        <f t="shared" si="0"/>
        <v/>
      </c>
      <c r="K60" t="str">
        <f t="shared" si="5"/>
        <v/>
      </c>
      <c r="L60" t="str">
        <f t="shared" si="1"/>
        <v/>
      </c>
      <c r="P60" s="12" t="str">
        <f t="shared" si="2"/>
        <v/>
      </c>
      <c r="Q60" t="str">
        <f t="shared" si="3"/>
        <v/>
      </c>
      <c r="R60" t="str">
        <f t="shared" si="4"/>
        <v/>
      </c>
    </row>
    <row r="61" spans="1:18" x14ac:dyDescent="0.3">
      <c r="J61" s="12" t="str">
        <f t="shared" si="0"/>
        <v/>
      </c>
      <c r="K61" t="str">
        <f t="shared" si="5"/>
        <v/>
      </c>
      <c r="L61" t="str">
        <f t="shared" si="1"/>
        <v/>
      </c>
      <c r="P61" s="12" t="str">
        <f t="shared" si="2"/>
        <v/>
      </c>
      <c r="Q61" t="str">
        <f t="shared" si="3"/>
        <v/>
      </c>
      <c r="R61" t="str">
        <f t="shared" si="4"/>
        <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D5D2-BF57-4F05-8152-C6716DAA6F62}">
  <dimension ref="A2:G30"/>
  <sheetViews>
    <sheetView workbookViewId="0">
      <selection activeCell="Q45" sqref="Q45"/>
    </sheetView>
  </sheetViews>
  <sheetFormatPr defaultRowHeight="14.4" x14ac:dyDescent="0.3"/>
  <cols>
    <col min="1" max="1" width="12.44140625" bestFit="1" customWidth="1"/>
    <col min="2" max="2" width="12.21875" bestFit="1" customWidth="1"/>
    <col min="3" max="3" width="3" bestFit="1" customWidth="1"/>
    <col min="4" max="6" width="4" bestFit="1" customWidth="1"/>
    <col min="7" max="7" width="10.5546875" bestFit="1" customWidth="1"/>
    <col min="8" max="12" width="7.33203125" bestFit="1" customWidth="1"/>
    <col min="13" max="32" width="8.33203125" bestFit="1" customWidth="1"/>
    <col min="33" max="33" width="8.5546875" bestFit="1" customWidth="1"/>
    <col min="34" max="34" width="10.5546875" bestFit="1" customWidth="1"/>
    <col min="35" max="35" width="5.77734375" bestFit="1" customWidth="1"/>
    <col min="36" max="36" width="10.5546875" bestFit="1" customWidth="1"/>
    <col min="37" max="41" width="8.33203125" bestFit="1" customWidth="1"/>
    <col min="42" max="60" width="9.33203125" bestFit="1" customWidth="1"/>
    <col min="61" max="69" width="8.21875" bestFit="1" customWidth="1"/>
    <col min="70" max="89" width="9.21875" bestFit="1" customWidth="1"/>
    <col min="90" max="90" width="10.5546875" bestFit="1" customWidth="1"/>
  </cols>
  <sheetData>
    <row r="2" spans="1:2" x14ac:dyDescent="0.3">
      <c r="A2" s="12" t="s">
        <v>2541</v>
      </c>
    </row>
    <row r="3" spans="1:2" x14ac:dyDescent="0.3">
      <c r="A3" s="5" t="s">
        <v>2520</v>
      </c>
      <c r="B3" t="s">
        <v>2522</v>
      </c>
    </row>
    <row r="4" spans="1:2" x14ac:dyDescent="0.3">
      <c r="A4" s="6">
        <v>0</v>
      </c>
      <c r="B4">
        <v>68</v>
      </c>
    </row>
    <row r="5" spans="1:2" x14ac:dyDescent="0.3">
      <c r="A5" s="6">
        <v>1</v>
      </c>
      <c r="B5">
        <v>388</v>
      </c>
    </row>
    <row r="6" spans="1:2" x14ac:dyDescent="0.3">
      <c r="A6" s="6">
        <v>2</v>
      </c>
      <c r="B6">
        <v>189</v>
      </c>
    </row>
    <row r="7" spans="1:2" x14ac:dyDescent="0.3">
      <c r="A7" s="6">
        <v>3</v>
      </c>
      <c r="B7">
        <v>140</v>
      </c>
    </row>
    <row r="8" spans="1:2" x14ac:dyDescent="0.3">
      <c r="A8" s="6">
        <v>4</v>
      </c>
      <c r="B8">
        <v>79</v>
      </c>
    </row>
    <row r="9" spans="1:2" x14ac:dyDescent="0.3">
      <c r="A9" s="6">
        <v>5</v>
      </c>
      <c r="B9">
        <v>33</v>
      </c>
    </row>
    <row r="10" spans="1:2" x14ac:dyDescent="0.3">
      <c r="A10" s="6">
        <v>6</v>
      </c>
      <c r="B10">
        <v>23</v>
      </c>
    </row>
    <row r="11" spans="1:2" x14ac:dyDescent="0.3">
      <c r="A11" s="6">
        <v>7</v>
      </c>
      <c r="B11">
        <v>14</v>
      </c>
    </row>
    <row r="12" spans="1:2" x14ac:dyDescent="0.3">
      <c r="A12" s="6">
        <v>8</v>
      </c>
      <c r="B12">
        <v>5</v>
      </c>
    </row>
    <row r="13" spans="1:2" x14ac:dyDescent="0.3">
      <c r="A13" s="6">
        <v>9</v>
      </c>
      <c r="B13">
        <v>3</v>
      </c>
    </row>
    <row r="14" spans="1:2" x14ac:dyDescent="0.3">
      <c r="A14" s="6">
        <v>10</v>
      </c>
      <c r="B14">
        <v>6</v>
      </c>
    </row>
    <row r="15" spans="1:2" x14ac:dyDescent="0.3">
      <c r="A15" s="6">
        <v>11</v>
      </c>
      <c r="B15">
        <v>5</v>
      </c>
    </row>
    <row r="16" spans="1:2" x14ac:dyDescent="0.3">
      <c r="A16" s="6">
        <v>12</v>
      </c>
      <c r="B16">
        <v>1</v>
      </c>
    </row>
    <row r="17" spans="1:7" x14ac:dyDescent="0.3">
      <c r="A17" s="6">
        <v>14</v>
      </c>
      <c r="B17">
        <v>5</v>
      </c>
    </row>
    <row r="18" spans="1:7" x14ac:dyDescent="0.3">
      <c r="A18" s="6" t="s">
        <v>2521</v>
      </c>
      <c r="B18">
        <v>959</v>
      </c>
    </row>
    <row r="23" spans="1:7" x14ac:dyDescent="0.3">
      <c r="A23" s="12" t="s">
        <v>2542</v>
      </c>
    </row>
    <row r="25" spans="1:7" x14ac:dyDescent="0.3">
      <c r="A25" s="5" t="s">
        <v>2522</v>
      </c>
      <c r="B25" s="5" t="s">
        <v>2534</v>
      </c>
    </row>
    <row r="26" spans="1:7" x14ac:dyDescent="0.3">
      <c r="A26" s="5" t="s">
        <v>2520</v>
      </c>
      <c r="B26">
        <v>1</v>
      </c>
      <c r="C26">
        <v>2</v>
      </c>
      <c r="D26">
        <v>3</v>
      </c>
      <c r="E26">
        <v>4</v>
      </c>
      <c r="F26">
        <v>5</v>
      </c>
      <c r="G26" t="s">
        <v>2521</v>
      </c>
    </row>
    <row r="27" spans="1:7" x14ac:dyDescent="0.3">
      <c r="A27" s="6" t="s">
        <v>2543</v>
      </c>
      <c r="B27">
        <v>1</v>
      </c>
      <c r="C27">
        <v>19</v>
      </c>
      <c r="D27">
        <v>51</v>
      </c>
      <c r="E27">
        <v>118</v>
      </c>
      <c r="F27">
        <v>89</v>
      </c>
      <c r="G27">
        <v>278</v>
      </c>
    </row>
    <row r="28" spans="1:7" x14ac:dyDescent="0.3">
      <c r="A28" s="6" t="s">
        <v>2544</v>
      </c>
      <c r="B28">
        <v>1</v>
      </c>
      <c r="C28">
        <v>21</v>
      </c>
      <c r="D28">
        <v>66</v>
      </c>
      <c r="E28">
        <v>142</v>
      </c>
      <c r="F28">
        <v>102</v>
      </c>
      <c r="G28">
        <v>332</v>
      </c>
    </row>
    <row r="29" spans="1:7" x14ac:dyDescent="0.3">
      <c r="A29" s="6" t="s">
        <v>2545</v>
      </c>
      <c r="B29">
        <v>2</v>
      </c>
      <c r="C29">
        <v>15</v>
      </c>
      <c r="D29">
        <v>73</v>
      </c>
      <c r="E29">
        <v>153</v>
      </c>
      <c r="F29">
        <v>106</v>
      </c>
      <c r="G29">
        <v>349</v>
      </c>
    </row>
    <row r="30" spans="1:7" x14ac:dyDescent="0.3">
      <c r="A30" s="6" t="s">
        <v>2521</v>
      </c>
      <c r="B30">
        <v>4</v>
      </c>
      <c r="C30">
        <v>55</v>
      </c>
      <c r="D30">
        <v>190</v>
      </c>
      <c r="E30">
        <v>413</v>
      </c>
      <c r="F30">
        <v>297</v>
      </c>
      <c r="G30">
        <v>959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B2" sqref="B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7" sqref="B2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Dashboard</vt:lpstr>
      <vt:lpstr>Sheet3</vt:lpstr>
      <vt:lpstr>Sheet4</vt:lpstr>
      <vt:lpstr>Sheet5</vt:lpstr>
      <vt:lpstr>Sheet1</vt:lpstr>
      <vt:lpstr>Sheet6</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ERKAN FIRAT</cp:lastModifiedBy>
  <dcterms:created xsi:type="dcterms:W3CDTF">2025-06-13T02:42:26Z</dcterms:created>
  <dcterms:modified xsi:type="dcterms:W3CDTF">2026-01-26T11:20:22Z</dcterms:modified>
</cp:coreProperties>
</file>